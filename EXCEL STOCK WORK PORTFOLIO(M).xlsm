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itya\Desktop\WORK\"/>
    </mc:Choice>
  </mc:AlternateContent>
  <bookViews>
    <workbookView xWindow="0" yWindow="0" windowWidth="24000" windowHeight="9600"/>
  </bookViews>
  <sheets>
    <sheet name="home" sheetId="1" r:id="rId1"/>
    <sheet name="purchase" sheetId="2" r:id="rId2"/>
    <sheet name="sales" sheetId="3" r:id="rId3"/>
    <sheet name="stock" sheetId="4" r:id="rId4"/>
    <sheet name="Stock Adv" sheetId="5" r:id="rId5"/>
    <sheet name="P table" sheetId="8" r:id="rId6"/>
    <sheet name="Rough" sheetId="6" r:id="rId7"/>
  </sheets>
  <definedNames>
    <definedName name="_xlnm._FilterDatabase" localSheetId="1" hidden="1">purchase!$C$3:$F$26</definedName>
    <definedName name="_xlnm.Extract" localSheetId="3">stock!$A$3:$D$3</definedName>
  </definedNames>
  <calcPr calcId="162913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9" i="5" l="1"/>
  <c r="D10" i="5"/>
  <c r="D11" i="5"/>
  <c r="D12" i="5"/>
  <c r="D13" i="5"/>
  <c r="D14" i="5"/>
  <c r="D15" i="5"/>
  <c r="D16" i="5"/>
  <c r="D17" i="5"/>
  <c r="D18" i="5"/>
  <c r="D19" i="5"/>
  <c r="D20" i="5"/>
  <c r="I4" i="3"/>
  <c r="K4" i="3"/>
  <c r="L4" i="3"/>
  <c r="I5" i="3"/>
  <c r="K5" i="3" s="1"/>
  <c r="L5" i="3" s="1"/>
  <c r="I6" i="3"/>
  <c r="K6" i="3" s="1"/>
  <c r="L6" i="3" s="1"/>
  <c r="I7" i="3"/>
  <c r="K7" i="3" s="1"/>
  <c r="L7" i="3" s="1"/>
  <c r="I5" i="2"/>
  <c r="K5" i="2" s="1"/>
  <c r="L5" i="2" s="1"/>
  <c r="I4" i="2"/>
  <c r="K4" i="2" s="1"/>
  <c r="L4" i="2" s="1"/>
  <c r="I6" i="2"/>
  <c r="K6" i="2" s="1"/>
  <c r="L6" i="2" s="1"/>
  <c r="I2" i="6"/>
  <c r="I3" i="6"/>
  <c r="C6" i="8"/>
  <c r="I7" i="2" l="1"/>
  <c r="K7" i="2" s="1"/>
  <c r="L7" i="2" s="1"/>
  <c r="I8" i="2"/>
  <c r="K8" i="2" s="1"/>
  <c r="L8" i="2" s="1"/>
  <c r="K3" i="6"/>
  <c r="L3" i="6" s="1"/>
  <c r="K2" i="6"/>
  <c r="L2" i="6" s="1"/>
  <c r="I6" i="6"/>
  <c r="K6" i="6" s="1"/>
  <c r="L6" i="6" s="1"/>
  <c r="I4" i="6"/>
  <c r="K4" i="6" s="1"/>
  <c r="L4" i="6" s="1"/>
  <c r="I5" i="6"/>
  <c r="K5" i="6" s="1"/>
  <c r="L5" i="6" s="1"/>
  <c r="F10" i="4"/>
  <c r="F11" i="4"/>
  <c r="F12" i="4"/>
  <c r="F13" i="4"/>
  <c r="F14" i="4"/>
  <c r="F15" i="4"/>
  <c r="F16" i="4"/>
  <c r="F17" i="4"/>
  <c r="F18" i="4"/>
  <c r="F19" i="4"/>
  <c r="F20" i="4"/>
  <c r="E10" i="4"/>
  <c r="E11" i="4"/>
  <c r="E12" i="4"/>
  <c r="E13" i="4"/>
  <c r="E14" i="4"/>
  <c r="E15" i="4"/>
  <c r="E16" i="4"/>
  <c r="E17" i="4"/>
  <c r="E18" i="4"/>
  <c r="E19" i="4"/>
  <c r="E20" i="4"/>
  <c r="I9" i="2"/>
  <c r="K9" i="2" s="1"/>
  <c r="L9" i="2" s="1"/>
  <c r="I10" i="2"/>
  <c r="K10" i="2" s="1"/>
  <c r="L10" i="2" s="1"/>
  <c r="I11" i="2"/>
  <c r="K11" i="2" s="1"/>
  <c r="L11" i="2" s="1"/>
  <c r="G18" i="4" l="1"/>
  <c r="G14" i="4"/>
  <c r="G10" i="4"/>
  <c r="G20" i="4"/>
  <c r="G16" i="4"/>
  <c r="G12" i="4"/>
  <c r="G19" i="4"/>
  <c r="G15" i="4"/>
  <c r="G11" i="4"/>
  <c r="G17" i="4"/>
  <c r="G13" i="4"/>
  <c r="I8" i="3"/>
  <c r="K8" i="3" s="1"/>
  <c r="L8" i="3" s="1"/>
  <c r="E8" i="4"/>
  <c r="E9" i="4"/>
  <c r="F8" i="4"/>
  <c r="F9" i="4"/>
  <c r="I12" i="2"/>
  <c r="K12" i="2" s="1"/>
  <c r="L12" i="2" s="1"/>
  <c r="F4" i="4"/>
  <c r="F5" i="4"/>
  <c r="F6" i="4"/>
  <c r="F7" i="4"/>
  <c r="I9" i="3"/>
  <c r="K9" i="3" s="1"/>
  <c r="L9" i="3" s="1"/>
  <c r="I10" i="3"/>
  <c r="K10" i="3"/>
  <c r="L10" i="3" s="1"/>
  <c r="E4" i="4"/>
  <c r="E5" i="4"/>
  <c r="E6" i="4"/>
  <c r="E7" i="4"/>
  <c r="I13" i="2"/>
  <c r="K13" i="2" s="1"/>
  <c r="L13" i="2" s="1"/>
  <c r="D5" i="5" l="1"/>
  <c r="G9" i="4"/>
  <c r="G8" i="4"/>
  <c r="G4" i="4"/>
  <c r="G5" i="4"/>
  <c r="G7" i="4"/>
  <c r="G6" i="4"/>
  <c r="D7" i="5" s="1"/>
  <c r="J7" i="4"/>
  <c r="I14" i="2"/>
  <c r="K14" i="2" s="1"/>
  <c r="L14" i="2" s="1"/>
  <c r="I15" i="2"/>
  <c r="K15" i="2" s="1"/>
  <c r="L15" i="2" s="1"/>
  <c r="I16" i="2"/>
  <c r="K16" i="2" s="1"/>
  <c r="L16" i="2" s="1"/>
  <c r="D6" i="5" l="1"/>
  <c r="D8" i="5"/>
  <c r="D4" i="5"/>
</calcChain>
</file>

<file path=xl/sharedStrings.xml><?xml version="1.0" encoding="utf-8"?>
<sst xmlns="http://schemas.openxmlformats.org/spreadsheetml/2006/main" count="154" uniqueCount="49">
  <si>
    <t>Bill No:</t>
  </si>
  <si>
    <t>Date:</t>
  </si>
  <si>
    <t>Quantity:</t>
  </si>
  <si>
    <t>Rate:</t>
  </si>
  <si>
    <t>Last Billed:</t>
  </si>
  <si>
    <t>Entry Type:</t>
  </si>
  <si>
    <t>PURCHASE ENTRY</t>
  </si>
  <si>
    <t>SALE ENTRY</t>
  </si>
  <si>
    <t>Purch  Quantity</t>
  </si>
  <si>
    <t>Stock</t>
  </si>
  <si>
    <t>Sale Quantity</t>
  </si>
  <si>
    <t>Brand:</t>
  </si>
  <si>
    <t>NET AMOUNT</t>
  </si>
  <si>
    <t>Discount:</t>
  </si>
  <si>
    <t>PAD
(Price After Discount)</t>
  </si>
  <si>
    <t>PRICE</t>
  </si>
  <si>
    <t>CASH AMOUNT</t>
  </si>
  <si>
    <t>SIZE (L/KG):</t>
  </si>
  <si>
    <t>Thickness:</t>
  </si>
  <si>
    <t>Thickness</t>
  </si>
  <si>
    <t>19mm</t>
  </si>
  <si>
    <t>National ply</t>
  </si>
  <si>
    <t xml:space="preserve">Item </t>
  </si>
  <si>
    <t>12mm</t>
  </si>
  <si>
    <t>Quantity available</t>
  </si>
  <si>
    <t>STOCK SIZES REGARDLESS OF ANY PARTICULAR BRAND</t>
  </si>
  <si>
    <t xml:space="preserve">Fevicol </t>
  </si>
  <si>
    <t>SH</t>
  </si>
  <si>
    <t>Saburi ply</t>
  </si>
  <si>
    <t>W/l ply</t>
  </si>
  <si>
    <t>W/L ply</t>
  </si>
  <si>
    <t>IF(SEARCH("ply",C2:C4),H3*E3*D3,H3*E3)</t>
  </si>
  <si>
    <t>Inner Sunmica</t>
  </si>
  <si>
    <t>O/W</t>
  </si>
  <si>
    <t>6mm</t>
  </si>
  <si>
    <t>Inner cedro Sunmica</t>
  </si>
  <si>
    <t>.8mm</t>
  </si>
  <si>
    <t>sale</t>
  </si>
  <si>
    <t>HeatX</t>
  </si>
  <si>
    <t>SIZE (B):</t>
  </si>
  <si>
    <t>Fevicol</t>
  </si>
  <si>
    <t>1KG</t>
  </si>
  <si>
    <t>Marine</t>
  </si>
  <si>
    <t>0.8mm</t>
  </si>
  <si>
    <t>1kg</t>
  </si>
  <si>
    <t>0.5l</t>
  </si>
  <si>
    <t>Sum of Purch  Quantity</t>
  </si>
  <si>
    <t>Sum of Sale Quantity</t>
  </si>
  <si>
    <t>In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</si>
</sst>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₹&quot;\ #,##0.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Fill="1" applyAlignment="1">
      <alignment horizontal="right"/>
    </xf>
    <xf numFmtId="14" fontId="0" fillId="0" borderId="0" xfId="0" applyNumberFormat="1" applyFill="1" applyAlignment="1">
      <alignment horizontal="right"/>
    </xf>
    <xf numFmtId="1" fontId="0" fillId="0" borderId="0" xfId="0" applyNumberFormat="1" applyFill="1" applyAlignment="1">
      <alignment horizontal="right"/>
    </xf>
    <xf numFmtId="164" fontId="0" fillId="0" borderId="0" xfId="0" applyNumberFormat="1" applyFill="1" applyAlignment="1">
      <alignment horizontal="right"/>
    </xf>
    <xf numFmtId="164" fontId="1" fillId="0" borderId="0" xfId="0" applyNumberFormat="1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left" wrapText="1"/>
    </xf>
    <xf numFmtId="164" fontId="0" fillId="0" borderId="0" xfId="0" applyNumberFormat="1"/>
    <xf numFmtId="0" fontId="0" fillId="8" borderId="0" xfId="0" applyFill="1"/>
    <xf numFmtId="0" fontId="5" fillId="9" borderId="0" xfId="0" applyFont="1" applyFill="1" applyAlignment="1">
      <alignment horizontal="left"/>
    </xf>
    <xf numFmtId="0" fontId="5" fillId="9" borderId="0" xfId="0" applyFont="1" applyFill="1"/>
    <xf numFmtId="0" fontId="4" fillId="9" borderId="1" xfId="0" applyFont="1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4" borderId="2" xfId="0" applyFill="1" applyBorder="1"/>
    <xf numFmtId="0" fontId="0" fillId="3" borderId="2" xfId="0" applyFill="1" applyBorder="1" applyAlignment="1">
      <alignment horizontal="right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right"/>
    </xf>
    <xf numFmtId="0" fontId="0" fillId="2" borderId="2" xfId="0" applyFill="1" applyBorder="1" applyAlignment="1">
      <alignment horizontal="left"/>
    </xf>
    <xf numFmtId="0" fontId="0" fillId="0" borderId="2" xfId="0" applyFill="1" applyBorder="1" applyAlignment="1">
      <alignment horizontal="right"/>
    </xf>
    <xf numFmtId="14" fontId="0" fillId="0" borderId="2" xfId="0" applyNumberFormat="1" applyFill="1" applyBorder="1" applyAlignment="1">
      <alignment horizontal="right"/>
    </xf>
    <xf numFmtId="1" fontId="0" fillId="0" borderId="2" xfId="0" applyNumberFormat="1" applyFill="1" applyBorder="1" applyAlignment="1">
      <alignment horizontal="right"/>
    </xf>
    <xf numFmtId="164" fontId="0" fillId="0" borderId="2" xfId="0" applyNumberFormat="1" applyFill="1" applyBorder="1" applyAlignment="1">
      <alignment horizontal="right"/>
    </xf>
    <xf numFmtId="164" fontId="1" fillId="0" borderId="2" xfId="0" applyNumberFormat="1" applyFont="1" applyFill="1" applyBorder="1" applyAlignment="1">
      <alignment horizontal="right"/>
    </xf>
    <xf numFmtId="0" fontId="0" fillId="2" borderId="2" xfId="0" applyFill="1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right"/>
    </xf>
    <xf numFmtId="1" fontId="0" fillId="0" borderId="0" xfId="0" applyNumberFormat="1" applyFill="1" applyBorder="1" applyAlignment="1">
      <alignment horizontal="right"/>
    </xf>
    <xf numFmtId="14" fontId="0" fillId="0" borderId="0" xfId="0" applyNumberFormat="1" applyFill="1" applyBorder="1" applyAlignment="1">
      <alignment horizontal="right"/>
    </xf>
    <xf numFmtId="164" fontId="0" fillId="0" borderId="0" xfId="0" applyNumberFormat="1" applyFill="1" applyBorder="1" applyAlignment="1">
      <alignment horizontal="right"/>
    </xf>
    <xf numFmtId="164" fontId="1" fillId="0" borderId="0" xfId="0" applyNumberFormat="1" applyFont="1" applyFill="1" applyBorder="1" applyAlignment="1">
      <alignment horizontal="right"/>
    </xf>
    <xf numFmtId="0" fontId="4" fillId="9" borderId="0" xfId="0" applyFont="1" applyFill="1" applyBorder="1" applyAlignment="1">
      <alignment horizontal="left"/>
    </xf>
    <xf numFmtId="0" fontId="0" fillId="0" borderId="0" xfId="0" applyNumberFormat="1"/>
    <xf numFmtId="0" fontId="0" fillId="0" borderId="0" xfId="0" applyAlignment="1"/>
    <xf numFmtId="0" fontId="0" fillId="0" borderId="2" xfId="0" applyFont="1" applyBorder="1" applyAlignment="1">
      <alignment horizontal="right"/>
    </xf>
    <xf numFmtId="1" fontId="0" fillId="0" borderId="2" xfId="0" applyNumberFormat="1" applyFont="1" applyBorder="1" applyAlignment="1">
      <alignment horizontal="right"/>
    </xf>
    <xf numFmtId="0" fontId="0" fillId="0" borderId="3" xfId="0" applyFont="1" applyBorder="1" applyAlignment="1">
      <alignment horizontal="right"/>
    </xf>
    <xf numFmtId="1" fontId="0" fillId="0" borderId="1" xfId="0" applyNumberFormat="1" applyFont="1" applyBorder="1" applyAlignment="1">
      <alignment horizontal="right"/>
    </xf>
    <xf numFmtId="14" fontId="0" fillId="0" borderId="2" xfId="0" applyNumberFormat="1" applyFont="1" applyBorder="1" applyAlignment="1">
      <alignment horizontal="right"/>
    </xf>
    <xf numFmtId="164" fontId="0" fillId="0" borderId="2" xfId="0" applyNumberFormat="1" applyFont="1" applyBorder="1" applyAlignment="1">
      <alignment horizontal="right"/>
    </xf>
    <xf numFmtId="164" fontId="1" fillId="0" borderId="2" xfId="0" applyNumberFormat="1" applyFont="1" applyBorder="1" applyAlignment="1">
      <alignment horizontal="right"/>
    </xf>
    <xf numFmtId="14" fontId="0" fillId="0" borderId="1" xfId="0" applyNumberFormat="1" applyFont="1" applyBorder="1" applyAlignment="1">
      <alignment horizontal="right"/>
    </xf>
    <xf numFmtId="0" fontId="0" fillId="0" borderId="1" xfId="0" applyFont="1" applyBorder="1" applyAlignment="1">
      <alignment horizontal="right"/>
    </xf>
    <xf numFmtId="164" fontId="0" fillId="0" borderId="1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right"/>
    </xf>
    <xf numFmtId="164" fontId="1" fillId="0" borderId="4" xfId="0" applyNumberFormat="1" applyFont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14" fontId="0" fillId="0" borderId="0" xfId="0" applyNumberFormat="1"/>
    <xf numFmtId="1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Fill="1" applyBorder="1" applyAlignment="1">
      <alignment horizontal="right"/>
    </xf>
    <xf numFmtId="165" fontId="0" fillId="0" borderId="2" xfId="0" applyNumberFormat="1" applyFill="1" applyBorder="1" applyAlignment="1">
      <alignment horizontal="right"/>
    </xf>
    <xf numFmtId="0" fontId="0" fillId="0" borderId="0" xfId="0" pivotButton="1"/>
    <xf numFmtId="0" fontId="0" fillId="10" borderId="0" xfId="0" applyFill="1"/>
    <xf numFmtId="0" fontId="0" fillId="2" borderId="0" xfId="0" applyFill="1"/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right" vertical="center"/>
    </xf>
  </cellXfs>
  <cellStyles count="1">
    <cellStyle name="Normal" xfId="0" builtinId="0"/>
  </cellStyles>
  <dxfs count="18">
    <dxf>
      <numFmt numFmtId="0" formatCode="General"/>
      <alignment horizontal="right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</dxf>
    <dxf>
      <font>
        <color rgb="FF9C0006"/>
      </font>
    </dxf>
    <dxf>
      <numFmt numFmtId="164" formatCode="&quot;₹&quot;\ #,##0.0"/>
    </dxf>
    <dxf>
      <numFmt numFmtId="164" formatCode="&quot;₹&quot;\ #,##0.0"/>
    </dxf>
    <dxf>
      <numFmt numFmtId="164" formatCode="&quot;₹&quot;\ #,##0.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left" vertical="bottom" textRotation="0" wrapText="0" indent="0" justifyLastLine="0" shrinkToFit="0" readingOrder="0"/>
    </dxf>
    <dxf>
      <numFmt numFmtId="164" formatCode="&quot;₹&quot;\ #,##0.0"/>
    </dxf>
    <dxf>
      <numFmt numFmtId="164" formatCode="&quot;₹&quot;\ #,##0.0"/>
    </dxf>
    <dxf>
      <numFmt numFmtId="164" formatCode="&quot;₹&quot;\ #,##0.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4</xdr:row>
      <xdr:rowOff>142875</xdr:rowOff>
    </xdr:from>
    <xdr:to>
      <xdr:col>9</xdr:col>
      <xdr:colOff>514350</xdr:colOff>
      <xdr:row>7</xdr:row>
      <xdr:rowOff>9525</xdr:rowOff>
    </xdr:to>
    <xdr:sp macro="[0]!Puchase_entry" textlink="">
      <xdr:nvSpPr>
        <xdr:cNvPr id="4" name="Rounded Rectangle 3"/>
        <xdr:cNvSpPr/>
      </xdr:nvSpPr>
      <xdr:spPr>
        <a:xfrm>
          <a:off x="5143500" y="904875"/>
          <a:ext cx="1704975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PURCHASE ENTRY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9</xdr:col>
      <xdr:colOff>485775</xdr:colOff>
      <xdr:row>12</xdr:row>
      <xdr:rowOff>57150</xdr:rowOff>
    </xdr:to>
    <xdr:sp macro="[0]!Sales_entry" textlink="">
      <xdr:nvSpPr>
        <xdr:cNvPr id="5" name="Rounded Rectangle 4"/>
        <xdr:cNvSpPr/>
      </xdr:nvSpPr>
      <xdr:spPr>
        <a:xfrm>
          <a:off x="5114925" y="1905000"/>
          <a:ext cx="1704975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SALES</a:t>
          </a:r>
          <a:r>
            <a:rPr lang="en-IN" sz="1400" b="1" baseline="0"/>
            <a:t> </a:t>
          </a:r>
          <a:r>
            <a:rPr lang="en-IN" sz="1400" b="1"/>
            <a:t>ENTRY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609601</xdr:colOff>
      <xdr:row>1</xdr:row>
      <xdr:rowOff>28576</xdr:rowOff>
    </xdr:from>
    <xdr:to>
      <xdr:col>11</xdr:col>
      <xdr:colOff>104776</xdr:colOff>
      <xdr:row>3</xdr:row>
      <xdr:rowOff>66676</xdr:rowOff>
    </xdr:to>
    <xdr:sp macro="[0]!stock_refresh" textlink="">
      <xdr:nvSpPr>
        <xdr:cNvPr id="2" name="Rounded Rectangle 1"/>
        <xdr:cNvSpPr/>
      </xdr:nvSpPr>
      <xdr:spPr>
        <a:xfrm>
          <a:off x="5781676" y="219076"/>
          <a:ext cx="158115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chemeClr val="bg1"/>
              </a:solidFill>
            </a:rPr>
            <a:t>REFRESH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itya" refreshedDate="45087.748683564816" createdVersion="6" refreshedVersion="6" minRefreshableVersion="3" recordCount="17">
  <cacheSource type="worksheet">
    <worksheetSource name="Table3"/>
  </cacheSource>
  <cacheFields count="7">
    <cacheField name="Brand:" numFmtId="0">
      <sharedItems containsBlank="1"/>
    </cacheField>
    <cacheField name="SIZE (L/KG):" numFmtId="0">
      <sharedItems containsBlank="1" containsMixedTypes="1" containsNumber="1" containsInteger="1" minValue="5" maxValue="8" count="7">
        <m/>
        <s v="1KG"/>
        <s v="0.5l"/>
        <s v=".8mm"/>
        <n v="7"/>
        <n v="8"/>
        <n v="5"/>
      </sharedItems>
    </cacheField>
    <cacheField name="SIZE (B):" numFmtId="0">
      <sharedItems containsString="0" containsBlank="1" containsNumber="1" containsInteger="1" minValue="1" maxValue="4" count="4">
        <m/>
        <n v="1"/>
        <n v="4"/>
        <n v="3"/>
      </sharedItems>
    </cacheField>
    <cacheField name="Thickness" numFmtId="0">
      <sharedItems containsBlank="1" count="8">
        <m/>
        <s v="Marine"/>
        <s v="HeatX"/>
        <s v=".8mm"/>
        <s v="6mm"/>
        <s v="19mm"/>
        <s v="SH"/>
        <s v="12mm"/>
      </sharedItems>
    </cacheField>
    <cacheField name="Purch  Quantity" numFmtId="0">
      <sharedItems containsSemiMixedTypes="0" containsString="0" containsNumber="1" containsInteger="1" minValue="0" maxValue="40" count="8">
        <n v="0"/>
        <n v="10"/>
        <n v="20"/>
        <n v="40"/>
        <n v="3"/>
        <n v="7"/>
        <n v="5"/>
        <n v="15"/>
      </sharedItems>
    </cacheField>
    <cacheField name="Sale Quantity" numFmtId="0">
      <sharedItems containsSemiMixedTypes="0" containsString="0" containsNumber="1" containsInteger="1" minValue="0" maxValue="4"/>
    </cacheField>
    <cacheField name="Stock" numFmtId="0">
      <sharedItems containsSemiMixedTypes="0" containsString="0" containsNumber="1" containsInteger="1" minValue="0" maxValue="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m/>
    <x v="0"/>
    <x v="0"/>
    <x v="0"/>
    <x v="0"/>
    <n v="0"/>
    <n v="0"/>
  </r>
  <r>
    <s v="Fevicol"/>
    <x v="1"/>
    <x v="1"/>
    <x v="1"/>
    <x v="1"/>
    <n v="0"/>
    <n v="10"/>
  </r>
  <r>
    <s v="Fevicol"/>
    <x v="2"/>
    <x v="1"/>
    <x v="2"/>
    <x v="2"/>
    <n v="3"/>
    <n v="17"/>
  </r>
  <r>
    <s v="Inner cedro Sunmica"/>
    <x v="3"/>
    <x v="1"/>
    <x v="3"/>
    <x v="3"/>
    <n v="0"/>
    <n v="40"/>
  </r>
  <r>
    <s v="Saburi ply"/>
    <x v="4"/>
    <x v="2"/>
    <x v="4"/>
    <x v="2"/>
    <n v="0"/>
    <n v="20"/>
  </r>
  <r>
    <s v="W/L ply"/>
    <x v="4"/>
    <x v="2"/>
    <x v="5"/>
    <x v="4"/>
    <n v="0"/>
    <n v="3"/>
  </r>
  <r>
    <s v="Saburi ply"/>
    <x v="5"/>
    <x v="2"/>
    <x v="5"/>
    <x v="5"/>
    <n v="0"/>
    <n v="7"/>
  </r>
  <r>
    <s v="Saburi ply"/>
    <x v="4"/>
    <x v="2"/>
    <x v="5"/>
    <x v="5"/>
    <n v="0"/>
    <n v="7"/>
  </r>
  <r>
    <s v="Fevicol "/>
    <x v="6"/>
    <x v="1"/>
    <x v="6"/>
    <x v="1"/>
    <n v="0"/>
    <n v="10"/>
  </r>
  <r>
    <s v="W/L ply"/>
    <x v="5"/>
    <x v="2"/>
    <x v="5"/>
    <x v="6"/>
    <n v="2"/>
    <n v="3"/>
  </r>
  <r>
    <s v="National ply"/>
    <x v="5"/>
    <x v="2"/>
    <x v="7"/>
    <x v="6"/>
    <n v="0"/>
    <n v="5"/>
  </r>
  <r>
    <s v="National ply"/>
    <x v="5"/>
    <x v="2"/>
    <x v="5"/>
    <x v="7"/>
    <n v="4"/>
    <n v="11"/>
  </r>
  <r>
    <s v="National ply"/>
    <x v="5"/>
    <x v="3"/>
    <x v="5"/>
    <x v="1"/>
    <n v="3"/>
    <n v="7"/>
  </r>
  <r>
    <m/>
    <x v="0"/>
    <x v="0"/>
    <x v="0"/>
    <x v="0"/>
    <n v="0"/>
    <n v="0"/>
  </r>
  <r>
    <m/>
    <x v="0"/>
    <x v="0"/>
    <x v="0"/>
    <x v="0"/>
    <n v="0"/>
    <n v="0"/>
  </r>
  <r>
    <m/>
    <x v="0"/>
    <x v="0"/>
    <x v="0"/>
    <x v="0"/>
    <n v="0"/>
    <n v="0"/>
  </r>
  <r>
    <m/>
    <x v="0"/>
    <x v="0"/>
    <x v="0"/>
    <x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:B6" firstHeaderRow="0" firstDataRow="1" firstDataCol="0" rowPageCount="3" colPageCount="1"/>
  <pivotFields count="7">
    <pivotField showAll="0"/>
    <pivotField axis="axisPage" showAll="0">
      <items count="8">
        <item sd="0" x="6"/>
        <item x="4"/>
        <item x="5"/>
        <item x="3"/>
        <item x="2"/>
        <item x="1"/>
        <item x="0"/>
        <item t="default"/>
      </items>
    </pivotField>
    <pivotField axis="axisPage" showAll="0">
      <items count="5">
        <item x="1"/>
        <item x="3"/>
        <item x="2"/>
        <item x="0"/>
        <item t="default"/>
      </items>
    </pivotField>
    <pivotField axis="axisPage" showAll="0">
      <items count="9">
        <item x="3"/>
        <item x="7"/>
        <item x="5"/>
        <item x="4"/>
        <item x="2"/>
        <item x="1"/>
        <item x="6"/>
        <item x="0"/>
        <item t="default"/>
      </items>
    </pivotField>
    <pivotField dataField="1" showAll="0">
      <items count="9">
        <item x="0"/>
        <item x="4"/>
        <item x="6"/>
        <item x="5"/>
        <item x="1"/>
        <item x="7"/>
        <item x="2"/>
        <item x="3"/>
        <item t="default"/>
      </items>
    </pivotField>
    <pivotField dataField="1" showAll="0"/>
    <pivotField showAll="0"/>
  </pivotFields>
  <rowItems count="1">
    <i/>
  </rowItems>
  <colFields count="1">
    <field x="-2"/>
  </colFields>
  <colItems count="2">
    <i>
      <x/>
    </i>
    <i i="1">
      <x v="1"/>
    </i>
  </colItems>
  <pageFields count="3">
    <pageField fld="3" item="4" hier="-1"/>
    <pageField fld="1" item="4" hier="-1"/>
    <pageField fld="2" item="0" hier="-1"/>
  </pageFields>
  <dataFields count="2">
    <dataField name="Sum of Purch  Quantity" fld="4" baseField="0" baseItem="0"/>
    <dataField name="Sum of Sale Quantity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Table4" displayName="Table4" ref="A3:L26" totalsRowShown="0" headerRowDxfId="17">
  <tableColumns count="12">
    <tableColumn id="1" name="Bill No:"/>
    <tableColumn id="2" name="Date:"/>
    <tableColumn id="3" name="Brand:"/>
    <tableColumn id="4" name="SIZE (L/KG):"/>
    <tableColumn id="5" name="SIZE (B):"/>
    <tableColumn id="12" name="Thickness"/>
    <tableColumn id="6" name="Quantity:"/>
    <tableColumn id="7" name="Rate:"/>
    <tableColumn id="8" name="PRICE" dataDxfId="16">
      <calculatedColumnFormula>H4*E4*D4</calculatedColumnFormula>
    </tableColumn>
    <tableColumn id="9" name="Discount:"/>
    <tableColumn id="10" name="PAD_x000a_(Price After Discount)" dataDxfId="15">
      <calculatedColumnFormula>I4-J4</calculatedColumnFormula>
    </tableColumn>
    <tableColumn id="11" name="NET AMOUNT" dataDxfId="14">
      <calculatedColumnFormula>K4*G4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5" name="Table5" displayName="Table5" ref="A3:L23" totalsRowShown="0" headerRowDxfId="13">
  <autoFilter ref="A3:L23"/>
  <tableColumns count="12">
    <tableColumn id="1" name="Bill No:"/>
    <tableColumn id="2" name="Date:"/>
    <tableColumn id="3" name="Brand:"/>
    <tableColumn id="4" name="SIZE (L/KG):"/>
    <tableColumn id="5" name="SIZE (B):"/>
    <tableColumn id="12" name="Thickness"/>
    <tableColumn id="6" name="Quantity:"/>
    <tableColumn id="7" name="Rate:"/>
    <tableColumn id="8" name="PRICE" dataDxfId="12">
      <calculatedColumnFormula>H4*D4*E4</calculatedColumnFormula>
    </tableColumn>
    <tableColumn id="9" name="Discount:"/>
    <tableColumn id="10" name="PAD_x000a_(Price After Discount)" dataDxfId="11">
      <calculatedColumnFormula>I4-J4</calculatedColumnFormula>
    </tableColumn>
    <tableColumn id="11" name="NET AMOUNT" dataDxfId="10">
      <calculatedColumnFormula>K4*G4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3" name="Table3" displayName="Table3" ref="A3:G20" totalsRowShown="0" headerRowDxfId="8">
  <tableColumns count="7">
    <tableColumn id="1" name="Brand:"/>
    <tableColumn id="5" name="SIZE (L/KG):"/>
    <tableColumn id="6" name="SIZE (B):"/>
    <tableColumn id="7" name="Thickness"/>
    <tableColumn id="2" name="Purch  Quantity" dataDxfId="7">
      <calculatedColumnFormula>SUMIFS(Table4[Quantity:],Table4[Brand:],Table3[Brand:],Table4[SIZE (L/KG):],Table3[SIZE (L/KG):],Table4[SIZE (B):],Table3[SIZE (B):],Table4[Thickness],Table3[Thickness])</calculatedColumnFormula>
    </tableColumn>
    <tableColumn id="3" name="Sale Quantity" dataDxfId="6">
      <calculatedColumnFormula>SUMIFS(Table5[Quantity:],Table5[Brand:], Table3[Brand:],Table5[SIZE (L/KG):],Table3[SIZE (L/KG):],Table5[SIZE (B):],Table3[SIZE (B):],Table5[Thickness],Table3[Thickness])</calculatedColumnFormula>
    </tableColumn>
    <tableColumn id="4" name="Stock" dataDxfId="5">
      <calculatedColumnFormula>Table3[[#This Row],[Purch  Quantity]]-Table3[[#This Row],[Sale Quantity]]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id="2" name="Table2" displayName="Table2" ref="A3:D20" totalsRowShown="0" headerRowDxfId="4">
  <autoFilter ref="A3:D20"/>
  <tableColumns count="4">
    <tableColumn id="1" name="SIZE (L/KG):" dataDxfId="3"/>
    <tableColumn id="2" name="SIZE (B):" dataDxfId="2"/>
    <tableColumn id="3" name="Thickness" dataDxfId="1"/>
    <tableColumn id="4" name="Quantity available" dataDxfId="0">
      <calculatedColumnFormula>SUMIFS(Table3[Stock],Table3[SIZE (L/KG):],Table2[SIZE (L/KG):],Table3[SIZE (B):],Table2[SIZE (B):],Table3[Thickness],Table2[Thickness])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6"/>
  <sheetViews>
    <sheetView tabSelected="1" workbookViewId="0">
      <selection activeCell="E8" sqref="E8"/>
    </sheetView>
  </sheetViews>
  <sheetFormatPr defaultRowHeight="15" x14ac:dyDescent="0.25"/>
  <cols>
    <col min="2" max="2" width="17.7109375" style="2" bestFit="1" customWidth="1"/>
    <col min="3" max="3" width="2.7109375" customWidth="1"/>
    <col min="4" max="4" width="19.7109375" style="1" customWidth="1"/>
  </cols>
  <sheetData>
    <row r="2" spans="2:6" x14ac:dyDescent="0.25">
      <c r="B2" s="15" t="s">
        <v>5</v>
      </c>
      <c r="C2" s="16"/>
      <c r="D2" s="17" t="s">
        <v>37</v>
      </c>
    </row>
    <row r="3" spans="2:6" x14ac:dyDescent="0.25">
      <c r="B3" s="18" t="s">
        <v>4</v>
      </c>
      <c r="C3" s="16"/>
      <c r="D3" s="19">
        <f>IF(D2="sale",MAX(Table5[Bill No:]),MAX(Table4[Bill No:]))</f>
        <v>5</v>
      </c>
    </row>
    <row r="4" spans="2:6" x14ac:dyDescent="0.25">
      <c r="B4" s="27"/>
      <c r="C4" s="28"/>
      <c r="D4" s="29"/>
    </row>
    <row r="5" spans="2:6" x14ac:dyDescent="0.25">
      <c r="B5" s="20" t="s">
        <v>0</v>
      </c>
      <c r="C5" s="28"/>
      <c r="D5" s="21"/>
    </row>
    <row r="6" spans="2:6" x14ac:dyDescent="0.25">
      <c r="B6" s="20" t="s">
        <v>1</v>
      </c>
      <c r="C6" s="28"/>
      <c r="D6" s="22"/>
    </row>
    <row r="7" spans="2:6" x14ac:dyDescent="0.25">
      <c r="B7" s="20" t="s">
        <v>11</v>
      </c>
      <c r="C7" s="28"/>
      <c r="D7" s="21"/>
    </row>
    <row r="8" spans="2:6" x14ac:dyDescent="0.25">
      <c r="B8" s="20" t="s">
        <v>17</v>
      </c>
      <c r="C8" s="28"/>
      <c r="D8" s="54"/>
    </row>
    <row r="9" spans="2:6" x14ac:dyDescent="0.25">
      <c r="B9" s="20" t="s">
        <v>39</v>
      </c>
      <c r="C9" s="28"/>
      <c r="D9" s="23"/>
    </row>
    <row r="10" spans="2:6" x14ac:dyDescent="0.25">
      <c r="B10" s="20" t="s">
        <v>18</v>
      </c>
      <c r="C10" s="28"/>
      <c r="D10" s="23"/>
    </row>
    <row r="11" spans="2:6" x14ac:dyDescent="0.25">
      <c r="B11" s="20" t="s">
        <v>2</v>
      </c>
      <c r="C11" s="28"/>
      <c r="D11" s="23"/>
    </row>
    <row r="12" spans="2:6" x14ac:dyDescent="0.25">
      <c r="B12" s="20" t="s">
        <v>3</v>
      </c>
      <c r="C12" s="28"/>
      <c r="D12" s="24"/>
    </row>
    <row r="13" spans="2:6" x14ac:dyDescent="0.25">
      <c r="B13" s="20" t="s">
        <v>15</v>
      </c>
      <c r="C13" s="28"/>
      <c r="D13" s="25"/>
    </row>
    <row r="14" spans="2:6" x14ac:dyDescent="0.25">
      <c r="B14" s="20" t="s">
        <v>13</v>
      </c>
      <c r="C14" s="28"/>
      <c r="D14" s="24"/>
      <c r="E14" s="58" t="s">
        <v>16</v>
      </c>
      <c r="F14" s="58"/>
    </row>
    <row r="15" spans="2:6" ht="45" x14ac:dyDescent="0.25">
      <c r="B15" s="26" t="s">
        <v>14</v>
      </c>
      <c r="C15" s="28"/>
      <c r="D15" s="25"/>
    </row>
    <row r="16" spans="2:6" x14ac:dyDescent="0.25">
      <c r="B16" s="20" t="s">
        <v>12</v>
      </c>
      <c r="C16" s="28"/>
      <c r="D16" s="25"/>
    </row>
  </sheetData>
  <mergeCells count="1">
    <mergeCell ref="E14:F14"/>
  </mergeCells>
  <dataValidations count="1">
    <dataValidation type="list" allowBlank="1" showInputMessage="1" showErrorMessage="1" sqref="D2">
      <formula1>"sale,purchase"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6"/>
  <sheetViews>
    <sheetView workbookViewId="0">
      <selection activeCell="A13" sqref="A13"/>
    </sheetView>
  </sheetViews>
  <sheetFormatPr defaultColWidth="11.5703125" defaultRowHeight="15" x14ac:dyDescent="0.25"/>
  <cols>
    <col min="1" max="1" width="7.42578125" bestFit="1" customWidth="1"/>
    <col min="2" max="2" width="10.42578125" bestFit="1" customWidth="1"/>
    <col min="3" max="3" width="19.28515625" bestFit="1" customWidth="1"/>
    <col min="4" max="4" width="11.28515625" bestFit="1" customWidth="1"/>
    <col min="5" max="5" width="8.140625" bestFit="1" customWidth="1"/>
    <col min="6" max="6" width="9.5703125" bestFit="1" customWidth="1"/>
    <col min="7" max="7" width="9.28515625" bestFit="1" customWidth="1"/>
    <col min="8" max="9" width="8.7109375" bestFit="1" customWidth="1"/>
    <col min="10" max="10" width="9.28515625" bestFit="1" customWidth="1"/>
    <col min="11" max="11" width="11.140625" bestFit="1" customWidth="1"/>
    <col min="12" max="12" width="13.42578125" bestFit="1" customWidth="1"/>
  </cols>
  <sheetData>
    <row r="1" spans="1:12" x14ac:dyDescent="0.25">
      <c r="A1" s="59" t="s">
        <v>6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</row>
    <row r="2" spans="1:12" x14ac:dyDescent="0.2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</row>
    <row r="3" spans="1:12" ht="45" x14ac:dyDescent="0.25">
      <c r="A3" s="8" t="s">
        <v>0</v>
      </c>
      <c r="B3" s="8" t="s">
        <v>1</v>
      </c>
      <c r="C3" s="8" t="s">
        <v>11</v>
      </c>
      <c r="D3" s="8" t="s">
        <v>17</v>
      </c>
      <c r="E3" s="8" t="s">
        <v>39</v>
      </c>
      <c r="F3" s="8" t="s">
        <v>19</v>
      </c>
      <c r="G3" s="8" t="s">
        <v>2</v>
      </c>
      <c r="H3" s="8" t="s">
        <v>3</v>
      </c>
      <c r="I3" s="8" t="s">
        <v>15</v>
      </c>
      <c r="J3" s="8" t="s">
        <v>13</v>
      </c>
      <c r="K3" s="9" t="s">
        <v>14</v>
      </c>
      <c r="L3" s="8" t="s">
        <v>12</v>
      </c>
    </row>
    <row r="4" spans="1:12" x14ac:dyDescent="0.25">
      <c r="A4" s="8"/>
      <c r="B4" s="8"/>
      <c r="C4" s="8"/>
      <c r="D4" s="8"/>
      <c r="E4" s="8"/>
      <c r="F4" s="8"/>
      <c r="G4" s="8"/>
      <c r="H4" s="8"/>
      <c r="I4" s="8">
        <f>H4*E4*D4</f>
        <v>0</v>
      </c>
      <c r="J4" s="8"/>
      <c r="K4" s="9">
        <f>I4-J4</f>
        <v>0</v>
      </c>
      <c r="L4" s="8">
        <f>K4*G4</f>
        <v>0</v>
      </c>
    </row>
    <row r="5" spans="1:12" x14ac:dyDescent="0.25">
      <c r="A5" s="21">
        <v>11</v>
      </c>
      <c r="B5" s="22">
        <v>44229</v>
      </c>
      <c r="C5" s="21" t="s">
        <v>40</v>
      </c>
      <c r="D5" s="54" t="s">
        <v>41</v>
      </c>
      <c r="E5" s="23">
        <v>1</v>
      </c>
      <c r="F5" s="23" t="s">
        <v>42</v>
      </c>
      <c r="G5" s="23">
        <v>10</v>
      </c>
      <c r="H5" s="24">
        <v>140</v>
      </c>
      <c r="I5" s="25">
        <f>IF(ISNUMBER(SEARCH("ply",C5)), D5*E5*H5,H5*E5)</f>
        <v>140</v>
      </c>
      <c r="J5" s="24"/>
      <c r="K5" s="25">
        <f>I5-J5</f>
        <v>140</v>
      </c>
      <c r="L5" s="25">
        <f>K5*G5</f>
        <v>1400</v>
      </c>
    </row>
    <row r="6" spans="1:12" x14ac:dyDescent="0.25">
      <c r="A6" s="21">
        <v>10</v>
      </c>
      <c r="B6" s="22">
        <v>44229</v>
      </c>
      <c r="C6" s="21" t="s">
        <v>40</v>
      </c>
      <c r="D6" s="54" t="s">
        <v>45</v>
      </c>
      <c r="E6" s="23">
        <v>1</v>
      </c>
      <c r="F6" s="23" t="s">
        <v>38</v>
      </c>
      <c r="G6" s="23">
        <v>20</v>
      </c>
      <c r="H6" s="24">
        <v>200</v>
      </c>
      <c r="I6" s="25">
        <f>IF(ISNUMBER(SEARCH("ply",C6)), D6*E6*H6,H6*E6)</f>
        <v>200</v>
      </c>
      <c r="J6" s="24"/>
      <c r="K6" s="25">
        <f>I6-J6</f>
        <v>200</v>
      </c>
      <c r="L6" s="25">
        <f>K6*G6</f>
        <v>4000</v>
      </c>
    </row>
    <row r="7" spans="1:12" x14ac:dyDescent="0.25">
      <c r="A7" s="21">
        <v>9</v>
      </c>
      <c r="B7" s="22">
        <v>44198</v>
      </c>
      <c r="C7" s="21" t="s">
        <v>35</v>
      </c>
      <c r="D7" s="23" t="s">
        <v>36</v>
      </c>
      <c r="E7" s="23">
        <v>1</v>
      </c>
      <c r="F7" s="23" t="s">
        <v>36</v>
      </c>
      <c r="G7" s="23">
        <v>40</v>
      </c>
      <c r="H7" s="24">
        <v>125</v>
      </c>
      <c r="I7" s="25">
        <f>IF(ISNUMBER(SEARCH("ply",C7)), H7*E7*D7,H7*E7)</f>
        <v>125</v>
      </c>
      <c r="J7" s="24"/>
      <c r="K7" s="25">
        <f t="shared" ref="K7:K11" si="0">I7-J7</f>
        <v>125</v>
      </c>
      <c r="L7" s="25">
        <f t="shared" ref="L7:L11" si="1">K7*G7</f>
        <v>5000</v>
      </c>
    </row>
    <row r="8" spans="1:12" x14ac:dyDescent="0.25">
      <c r="A8" s="21">
        <v>8</v>
      </c>
      <c r="B8" s="22">
        <v>44198</v>
      </c>
      <c r="C8" s="21" t="s">
        <v>28</v>
      </c>
      <c r="D8" s="23">
        <v>7</v>
      </c>
      <c r="E8" s="23">
        <v>4</v>
      </c>
      <c r="F8" s="23" t="s">
        <v>34</v>
      </c>
      <c r="G8" s="23">
        <v>20</v>
      </c>
      <c r="H8" s="24">
        <v>30</v>
      </c>
      <c r="I8" s="25">
        <f>IF(ISNUMBER(SEARCH("ply",C8)), H8*E8*D8,H8*E8)</f>
        <v>840</v>
      </c>
      <c r="J8" s="24"/>
      <c r="K8" s="25">
        <f t="shared" si="0"/>
        <v>840</v>
      </c>
      <c r="L8" s="25">
        <f t="shared" si="1"/>
        <v>16800</v>
      </c>
    </row>
    <row r="9" spans="1:12" x14ac:dyDescent="0.25">
      <c r="A9" s="21">
        <v>7</v>
      </c>
      <c r="B9" s="22">
        <v>44198</v>
      </c>
      <c r="C9" s="21" t="s">
        <v>30</v>
      </c>
      <c r="D9" s="23">
        <v>7</v>
      </c>
      <c r="E9" s="23">
        <v>4</v>
      </c>
      <c r="F9" s="23" t="s">
        <v>20</v>
      </c>
      <c r="G9" s="23">
        <v>3</v>
      </c>
      <c r="H9" s="24">
        <v>55</v>
      </c>
      <c r="I9" s="25">
        <f>H9*E9*D9</f>
        <v>1540</v>
      </c>
      <c r="J9" s="24"/>
      <c r="K9" s="25">
        <f t="shared" si="0"/>
        <v>1540</v>
      </c>
      <c r="L9" s="25">
        <f t="shared" si="1"/>
        <v>4620</v>
      </c>
    </row>
    <row r="10" spans="1:12" x14ac:dyDescent="0.25">
      <c r="A10" s="21">
        <v>6</v>
      </c>
      <c r="B10" s="22">
        <v>44198</v>
      </c>
      <c r="C10" s="21" t="s">
        <v>28</v>
      </c>
      <c r="D10" s="23">
        <v>8</v>
      </c>
      <c r="E10" s="23">
        <v>4</v>
      </c>
      <c r="F10" s="23" t="s">
        <v>20</v>
      </c>
      <c r="G10" s="23">
        <v>7</v>
      </c>
      <c r="H10" s="24">
        <v>87</v>
      </c>
      <c r="I10" s="25">
        <f>H10*E10*D10</f>
        <v>2784</v>
      </c>
      <c r="J10" s="24"/>
      <c r="K10" s="25">
        <f t="shared" si="0"/>
        <v>2784</v>
      </c>
      <c r="L10" s="25">
        <f t="shared" si="1"/>
        <v>19488</v>
      </c>
    </row>
    <row r="11" spans="1:12" x14ac:dyDescent="0.25">
      <c r="A11" s="21">
        <v>5</v>
      </c>
      <c r="B11" s="22">
        <v>44229</v>
      </c>
      <c r="C11" s="21" t="s">
        <v>28</v>
      </c>
      <c r="D11" s="23">
        <v>7</v>
      </c>
      <c r="E11" s="23">
        <v>4</v>
      </c>
      <c r="F11" s="23" t="s">
        <v>20</v>
      </c>
      <c r="G11" s="23">
        <v>7</v>
      </c>
      <c r="H11" s="24">
        <v>79</v>
      </c>
      <c r="I11" s="25">
        <f>H11*E11*D11</f>
        <v>2212</v>
      </c>
      <c r="J11" s="24"/>
      <c r="K11" s="25">
        <f t="shared" si="0"/>
        <v>2212</v>
      </c>
      <c r="L11" s="25">
        <f t="shared" si="1"/>
        <v>15484</v>
      </c>
    </row>
    <row r="12" spans="1:12" x14ac:dyDescent="0.25">
      <c r="A12" s="21">
        <v>5</v>
      </c>
      <c r="B12" s="22">
        <v>44198</v>
      </c>
      <c r="C12" s="21" t="s">
        <v>29</v>
      </c>
      <c r="D12" s="23">
        <v>8</v>
      </c>
      <c r="E12" s="23">
        <v>4</v>
      </c>
      <c r="F12" s="23" t="s">
        <v>20</v>
      </c>
      <c r="G12" s="23">
        <v>5</v>
      </c>
      <c r="H12" s="24">
        <v>55</v>
      </c>
      <c r="I12" s="25">
        <f>Table4[[#This Row],[Rate:]]*Table4[[#This Row],[SIZE (B):]]*Table4[[#This Row],[SIZE (L/KG):]]</f>
        <v>1760</v>
      </c>
      <c r="J12" s="24"/>
      <c r="K12" s="25">
        <f t="shared" ref="K12:K16" si="2">I12-J12</f>
        <v>1760</v>
      </c>
      <c r="L12" s="25">
        <f t="shared" ref="L12:L16" si="3">K12*G12</f>
        <v>8800</v>
      </c>
    </row>
    <row r="13" spans="1:12" s="28" customFormat="1" x14ac:dyDescent="0.25">
      <c r="A13" s="30">
        <v>4</v>
      </c>
      <c r="B13" s="32">
        <v>44197</v>
      </c>
      <c r="C13" s="30" t="s">
        <v>21</v>
      </c>
      <c r="D13" s="31">
        <v>8</v>
      </c>
      <c r="E13" s="31">
        <v>4</v>
      </c>
      <c r="F13" s="31" t="s">
        <v>23</v>
      </c>
      <c r="G13" s="31">
        <v>5</v>
      </c>
      <c r="H13" s="33">
        <v>64</v>
      </c>
      <c r="I13" s="34">
        <f>Table4[[#This Row],[Rate:]]*Table4[[#This Row],[SIZE (B):]]*Table4[[#This Row],[SIZE (L/KG):]]</f>
        <v>2048</v>
      </c>
      <c r="J13" s="33"/>
      <c r="K13" s="34">
        <f t="shared" si="2"/>
        <v>2048</v>
      </c>
      <c r="L13" s="34">
        <f t="shared" si="3"/>
        <v>10240</v>
      </c>
    </row>
    <row r="14" spans="1:12" x14ac:dyDescent="0.25">
      <c r="A14" s="3">
        <v>3</v>
      </c>
      <c r="B14" s="4">
        <v>44197</v>
      </c>
      <c r="C14" s="3" t="s">
        <v>21</v>
      </c>
      <c r="D14" s="5">
        <v>8</v>
      </c>
      <c r="E14" s="5">
        <v>4</v>
      </c>
      <c r="F14" s="5" t="s">
        <v>20</v>
      </c>
      <c r="G14" s="5">
        <v>5</v>
      </c>
      <c r="H14" s="6">
        <v>84</v>
      </c>
      <c r="I14" s="7">
        <f>H14*E14*D14</f>
        <v>2688</v>
      </c>
      <c r="J14" s="6"/>
      <c r="K14" s="7">
        <f t="shared" si="2"/>
        <v>2688</v>
      </c>
      <c r="L14" s="7">
        <f t="shared" si="3"/>
        <v>13440</v>
      </c>
    </row>
    <row r="15" spans="1:12" x14ac:dyDescent="0.25">
      <c r="A15" s="3">
        <v>2</v>
      </c>
      <c r="B15" s="4">
        <v>44197</v>
      </c>
      <c r="C15" s="3" t="s">
        <v>21</v>
      </c>
      <c r="D15" s="5">
        <v>8</v>
      </c>
      <c r="E15" s="5">
        <v>3</v>
      </c>
      <c r="F15" s="5" t="s">
        <v>20</v>
      </c>
      <c r="G15" s="5">
        <v>10</v>
      </c>
      <c r="H15" s="6">
        <v>84</v>
      </c>
      <c r="I15" s="7">
        <f>H15*E15*D15</f>
        <v>2016</v>
      </c>
      <c r="J15" s="6"/>
      <c r="K15" s="7">
        <f t="shared" si="2"/>
        <v>2016</v>
      </c>
      <c r="L15" s="7">
        <f t="shared" si="3"/>
        <v>20160</v>
      </c>
    </row>
    <row r="16" spans="1:12" x14ac:dyDescent="0.25">
      <c r="A16" s="3">
        <v>1</v>
      </c>
      <c r="B16" s="4">
        <v>44197</v>
      </c>
      <c r="C16" s="3" t="s">
        <v>21</v>
      </c>
      <c r="D16" s="5">
        <v>8</v>
      </c>
      <c r="E16" s="5">
        <v>4</v>
      </c>
      <c r="F16" s="5" t="s">
        <v>20</v>
      </c>
      <c r="G16" s="5">
        <v>10</v>
      </c>
      <c r="H16" s="6">
        <v>84</v>
      </c>
      <c r="I16" s="7">
        <f>H16*E16*D16</f>
        <v>2688</v>
      </c>
      <c r="J16" s="6"/>
      <c r="K16" s="7">
        <f t="shared" si="2"/>
        <v>2688</v>
      </c>
      <c r="L16" s="7">
        <f t="shared" si="3"/>
        <v>26880</v>
      </c>
    </row>
    <row r="17" spans="1:12" x14ac:dyDescent="0.25">
      <c r="A17" s="3"/>
      <c r="B17" s="4"/>
      <c r="C17" s="3"/>
      <c r="D17" s="5"/>
      <c r="E17" s="5"/>
      <c r="F17" s="5"/>
      <c r="G17" s="5"/>
      <c r="H17" s="6"/>
      <c r="I17" s="7"/>
      <c r="J17" s="6"/>
      <c r="K17" s="7"/>
      <c r="L17" s="7"/>
    </row>
    <row r="18" spans="1:12" x14ac:dyDescent="0.25">
      <c r="A18" s="3"/>
      <c r="B18" s="4"/>
      <c r="C18" s="3"/>
      <c r="D18" s="5"/>
      <c r="E18" s="5"/>
      <c r="F18" s="5"/>
      <c r="G18" s="5"/>
      <c r="H18" s="6"/>
      <c r="I18" s="7"/>
      <c r="J18" s="6"/>
      <c r="K18" s="7"/>
      <c r="L18" s="7"/>
    </row>
    <row r="19" spans="1:12" x14ac:dyDescent="0.25">
      <c r="A19" s="3"/>
      <c r="B19" s="4"/>
      <c r="C19" s="3"/>
      <c r="D19" s="5"/>
      <c r="E19" s="5"/>
      <c r="F19" s="5"/>
      <c r="G19" s="5"/>
      <c r="H19" s="6"/>
      <c r="I19" s="7"/>
      <c r="J19" s="6"/>
      <c r="K19" s="7"/>
      <c r="L19" s="7"/>
    </row>
    <row r="20" spans="1:12" x14ac:dyDescent="0.25">
      <c r="A20" s="3"/>
      <c r="B20" s="4"/>
      <c r="C20" s="3"/>
      <c r="D20" s="5"/>
      <c r="E20" s="5"/>
      <c r="F20" s="5"/>
      <c r="G20" s="5"/>
      <c r="H20" s="6"/>
      <c r="I20" s="7"/>
      <c r="J20" s="6"/>
      <c r="K20" s="7"/>
      <c r="L20" s="7"/>
    </row>
    <row r="21" spans="1:12" x14ac:dyDescent="0.25">
      <c r="I21" s="10"/>
      <c r="K21" s="10"/>
      <c r="L21" s="10"/>
    </row>
    <row r="22" spans="1:12" x14ac:dyDescent="0.25">
      <c r="I22" s="10"/>
      <c r="K22" s="10"/>
      <c r="L22" s="10"/>
    </row>
    <row r="23" spans="1:12" x14ac:dyDescent="0.25">
      <c r="I23" s="10"/>
      <c r="K23" s="10"/>
      <c r="L23" s="10"/>
    </row>
    <row r="24" spans="1:12" x14ac:dyDescent="0.25">
      <c r="I24" s="10"/>
      <c r="K24" s="10"/>
      <c r="L24" s="10"/>
    </row>
    <row r="25" spans="1:12" x14ac:dyDescent="0.25">
      <c r="I25" s="10"/>
      <c r="K25" s="10"/>
      <c r="L25" s="10"/>
    </row>
    <row r="26" spans="1:12" x14ac:dyDescent="0.25">
      <c r="I26" s="10"/>
      <c r="K26" s="10"/>
      <c r="L26" s="10"/>
    </row>
  </sheetData>
  <mergeCells count="1">
    <mergeCell ref="A1:L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5"/>
  <sheetViews>
    <sheetView workbookViewId="0">
      <selection activeCell="A5" sqref="A5"/>
    </sheetView>
  </sheetViews>
  <sheetFormatPr defaultRowHeight="15" x14ac:dyDescent="0.25"/>
  <cols>
    <col min="1" max="1" width="9.7109375" bestFit="1" customWidth="1"/>
    <col min="2" max="2" width="10.42578125" bestFit="1" customWidth="1"/>
    <col min="3" max="3" width="19.28515625" bestFit="1" customWidth="1"/>
    <col min="4" max="4" width="13.5703125" bestFit="1" customWidth="1"/>
    <col min="5" max="5" width="10.42578125" bestFit="1" customWidth="1"/>
    <col min="6" max="6" width="11.85546875" bestFit="1" customWidth="1"/>
    <col min="7" max="7" width="11.5703125" bestFit="1" customWidth="1"/>
    <col min="8" max="8" width="7.85546875" bestFit="1" customWidth="1"/>
    <col min="9" max="9" width="8.7109375" bestFit="1" customWidth="1"/>
    <col min="10" max="10" width="11.5703125" bestFit="1" customWidth="1"/>
    <col min="11" max="11" width="13.42578125" bestFit="1" customWidth="1"/>
    <col min="12" max="12" width="15.7109375" bestFit="1" customWidth="1"/>
  </cols>
  <sheetData>
    <row r="1" spans="1:12" x14ac:dyDescent="0.25">
      <c r="A1" s="60" t="s">
        <v>7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</row>
    <row r="2" spans="1:12" x14ac:dyDescent="0.2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</row>
    <row r="3" spans="1:12" ht="45" x14ac:dyDescent="0.25">
      <c r="A3" s="8" t="s">
        <v>0</v>
      </c>
      <c r="B3" s="8" t="s">
        <v>1</v>
      </c>
      <c r="C3" s="8" t="s">
        <v>11</v>
      </c>
      <c r="D3" s="8" t="s">
        <v>17</v>
      </c>
      <c r="E3" s="8" t="s">
        <v>39</v>
      </c>
      <c r="F3" s="8" t="s">
        <v>19</v>
      </c>
      <c r="G3" s="8" t="s">
        <v>2</v>
      </c>
      <c r="H3" s="8" t="s">
        <v>3</v>
      </c>
      <c r="I3" s="8" t="s">
        <v>15</v>
      </c>
      <c r="J3" s="8" t="s">
        <v>13</v>
      </c>
      <c r="K3" s="9" t="s">
        <v>14</v>
      </c>
      <c r="L3" s="8" t="s">
        <v>12</v>
      </c>
    </row>
    <row r="4" spans="1:12" x14ac:dyDescent="0.25">
      <c r="A4" s="8"/>
      <c r="B4" s="8"/>
      <c r="C4" s="8"/>
      <c r="D4" s="8"/>
      <c r="E4" s="8"/>
      <c r="F4" s="8"/>
      <c r="G4" s="8"/>
      <c r="H4" s="8"/>
      <c r="I4" s="8">
        <f>H4*D4*E4</f>
        <v>0</v>
      </c>
      <c r="J4" s="8"/>
      <c r="K4" s="9">
        <f t="shared" ref="K4:K9" si="0">I4-J4</f>
        <v>0</v>
      </c>
      <c r="L4" s="8">
        <f t="shared" ref="L4:L9" si="1">K4*G4</f>
        <v>0</v>
      </c>
    </row>
    <row r="5" spans="1:12" x14ac:dyDescent="0.25">
      <c r="A5" s="21">
        <v>5</v>
      </c>
      <c r="B5" s="22">
        <v>44198</v>
      </c>
      <c r="C5" s="21" t="s">
        <v>40</v>
      </c>
      <c r="D5" s="54" t="s">
        <v>45</v>
      </c>
      <c r="E5" s="23">
        <v>1</v>
      </c>
      <c r="F5" s="23" t="s">
        <v>38</v>
      </c>
      <c r="G5" s="23">
        <v>3</v>
      </c>
      <c r="H5" s="24">
        <v>450</v>
      </c>
      <c r="I5" s="25">
        <f>IF(ISNUMBER(SEARCH("ply",C5)), D5*E5*H5,H5*E5)</f>
        <v>450</v>
      </c>
      <c r="J5" s="24"/>
      <c r="K5" s="25">
        <f t="shared" si="0"/>
        <v>450</v>
      </c>
      <c r="L5" s="25">
        <f t="shared" si="1"/>
        <v>1350</v>
      </c>
    </row>
    <row r="6" spans="1:12" x14ac:dyDescent="0.25">
      <c r="A6" s="21">
        <v>5</v>
      </c>
      <c r="B6" s="22">
        <v>44229</v>
      </c>
      <c r="C6" s="21" t="s">
        <v>40</v>
      </c>
      <c r="D6" s="54" t="s">
        <v>45</v>
      </c>
      <c r="E6" s="23">
        <v>1</v>
      </c>
      <c r="F6" s="23" t="s">
        <v>38</v>
      </c>
      <c r="G6" s="23">
        <v>3</v>
      </c>
      <c r="H6" s="24">
        <v>450</v>
      </c>
      <c r="I6" s="25">
        <f>IF(ISNUMBER(SEARCH("ply",C6)), D6*E6*H6,H6*E6)</f>
        <v>450</v>
      </c>
      <c r="J6" s="24"/>
      <c r="K6" s="25">
        <f t="shared" si="0"/>
        <v>450</v>
      </c>
      <c r="L6" s="25">
        <f t="shared" si="1"/>
        <v>1350</v>
      </c>
    </row>
    <row r="7" spans="1:12" s="11" customFormat="1" x14ac:dyDescent="0.25">
      <c r="A7" s="21">
        <v>4</v>
      </c>
      <c r="B7" s="22">
        <v>44229</v>
      </c>
      <c r="C7" s="21" t="s">
        <v>35</v>
      </c>
      <c r="D7" s="54" t="s">
        <v>36</v>
      </c>
      <c r="E7" s="23">
        <v>1</v>
      </c>
      <c r="F7" s="23" t="s">
        <v>43</v>
      </c>
      <c r="G7" s="23">
        <v>5</v>
      </c>
      <c r="H7" s="24">
        <v>450</v>
      </c>
      <c r="I7" s="25">
        <f>IF(ISNUMBER(SEARCH("ply",C7)), D7*E7*H7,H7*E7)</f>
        <v>450</v>
      </c>
      <c r="J7" s="24"/>
      <c r="K7" s="25">
        <f t="shared" si="0"/>
        <v>450</v>
      </c>
      <c r="L7" s="25">
        <f t="shared" si="1"/>
        <v>2250</v>
      </c>
    </row>
    <row r="8" spans="1:12" s="11" customFormat="1" x14ac:dyDescent="0.25">
      <c r="A8" s="21">
        <v>3</v>
      </c>
      <c r="B8" s="22">
        <v>44198</v>
      </c>
      <c r="C8" s="21" t="s">
        <v>29</v>
      </c>
      <c r="D8" s="23">
        <v>8</v>
      </c>
      <c r="E8" s="23">
        <v>4</v>
      </c>
      <c r="F8" s="23" t="s">
        <v>20</v>
      </c>
      <c r="G8" s="23">
        <v>2</v>
      </c>
      <c r="H8" s="24">
        <v>88</v>
      </c>
      <c r="I8" s="25">
        <f>H8*D8*E8</f>
        <v>2816</v>
      </c>
      <c r="J8" s="24"/>
      <c r="K8" s="25">
        <f t="shared" si="0"/>
        <v>2816</v>
      </c>
      <c r="L8" s="25">
        <f t="shared" si="1"/>
        <v>5632</v>
      </c>
    </row>
    <row r="9" spans="1:12" s="11" customFormat="1" x14ac:dyDescent="0.25">
      <c r="A9" s="21">
        <v>2</v>
      </c>
      <c r="B9" s="22">
        <v>44197</v>
      </c>
      <c r="C9" s="21" t="s">
        <v>21</v>
      </c>
      <c r="D9" s="23">
        <v>8</v>
      </c>
      <c r="E9" s="23">
        <v>3</v>
      </c>
      <c r="F9" s="23" t="s">
        <v>20</v>
      </c>
      <c r="G9" s="23">
        <v>3</v>
      </c>
      <c r="H9" s="24">
        <v>106</v>
      </c>
      <c r="I9" s="25">
        <f>H9*D9*E9</f>
        <v>2544</v>
      </c>
      <c r="J9" s="24"/>
      <c r="K9" s="25">
        <f t="shared" si="0"/>
        <v>2544</v>
      </c>
      <c r="L9" s="25">
        <f t="shared" si="1"/>
        <v>7632</v>
      </c>
    </row>
    <row r="10" spans="1:12" x14ac:dyDescent="0.25">
      <c r="A10" s="21">
        <v>1</v>
      </c>
      <c r="B10" s="22">
        <v>44197</v>
      </c>
      <c r="C10" s="21" t="s">
        <v>21</v>
      </c>
      <c r="D10" s="23">
        <v>8</v>
      </c>
      <c r="E10" s="23">
        <v>4</v>
      </c>
      <c r="F10" s="23" t="s">
        <v>20</v>
      </c>
      <c r="G10" s="23">
        <v>4</v>
      </c>
      <c r="H10" s="24">
        <v>106</v>
      </c>
      <c r="I10" s="25">
        <f t="shared" ref="I10" si="2">H10*D10*E10</f>
        <v>3392</v>
      </c>
      <c r="J10" s="24"/>
      <c r="K10" s="25">
        <f t="shared" ref="K10" si="3">I10-J10</f>
        <v>3392</v>
      </c>
      <c r="L10" s="25">
        <f t="shared" ref="L10" si="4">K10*G10</f>
        <v>13568</v>
      </c>
    </row>
    <row r="11" spans="1:12" x14ac:dyDescent="0.25">
      <c r="I11" s="10"/>
      <c r="K11" s="10"/>
      <c r="L11" s="10"/>
    </row>
    <row r="12" spans="1:12" x14ac:dyDescent="0.25">
      <c r="I12" s="10"/>
      <c r="K12" s="10"/>
      <c r="L12" s="10"/>
    </row>
    <row r="13" spans="1:12" x14ac:dyDescent="0.25">
      <c r="I13" s="10"/>
      <c r="K13" s="10"/>
      <c r="L13" s="10"/>
    </row>
    <row r="14" spans="1:12" x14ac:dyDescent="0.25">
      <c r="I14" s="10"/>
      <c r="K14" s="10"/>
      <c r="L14" s="10"/>
    </row>
    <row r="15" spans="1:12" x14ac:dyDescent="0.25">
      <c r="I15" s="10"/>
      <c r="K15" s="10"/>
      <c r="L15" s="10"/>
    </row>
    <row r="16" spans="1:12" x14ac:dyDescent="0.25">
      <c r="I16" s="10"/>
      <c r="K16" s="10"/>
      <c r="L16" s="10"/>
    </row>
    <row r="17" spans="9:12" x14ac:dyDescent="0.25">
      <c r="I17" s="10"/>
      <c r="K17" s="10"/>
      <c r="L17" s="10"/>
    </row>
    <row r="18" spans="9:12" x14ac:dyDescent="0.25">
      <c r="I18" s="10"/>
      <c r="K18" s="10"/>
      <c r="L18" s="10"/>
    </row>
    <row r="19" spans="9:12" x14ac:dyDescent="0.25">
      <c r="I19" s="10"/>
      <c r="K19" s="10"/>
      <c r="L19" s="10"/>
    </row>
    <row r="20" spans="9:12" x14ac:dyDescent="0.25">
      <c r="I20" s="10"/>
      <c r="K20" s="10"/>
      <c r="L20" s="10"/>
    </row>
    <row r="21" spans="9:12" x14ac:dyDescent="0.25">
      <c r="I21" s="10"/>
      <c r="K21" s="10"/>
      <c r="L21" s="10"/>
    </row>
    <row r="22" spans="9:12" x14ac:dyDescent="0.25">
      <c r="I22" s="10"/>
      <c r="K22" s="10"/>
      <c r="L22" s="10"/>
    </row>
    <row r="23" spans="9:12" x14ac:dyDescent="0.25">
      <c r="I23" s="10"/>
      <c r="K23" s="10"/>
      <c r="L23" s="10"/>
    </row>
    <row r="24" spans="9:12" x14ac:dyDescent="0.25">
      <c r="I24" s="10"/>
      <c r="K24" s="10"/>
      <c r="L24" s="10"/>
    </row>
    <row r="25" spans="9:12" x14ac:dyDescent="0.25">
      <c r="I25" s="10"/>
      <c r="K25" s="10"/>
      <c r="L25" s="10"/>
    </row>
    <row r="26" spans="9:12" x14ac:dyDescent="0.25">
      <c r="I26" s="10"/>
      <c r="K26" s="10"/>
      <c r="L26" s="10"/>
    </row>
    <row r="27" spans="9:12" x14ac:dyDescent="0.25">
      <c r="I27" s="10"/>
      <c r="K27" s="10"/>
      <c r="L27" s="10"/>
    </row>
    <row r="28" spans="9:12" x14ac:dyDescent="0.25">
      <c r="I28" s="10"/>
      <c r="K28" s="10"/>
      <c r="L28" s="10"/>
    </row>
    <row r="29" spans="9:12" x14ac:dyDescent="0.25">
      <c r="I29" s="10"/>
      <c r="K29" s="10"/>
      <c r="L29" s="10"/>
    </row>
    <row r="30" spans="9:12" x14ac:dyDescent="0.25">
      <c r="I30" s="10"/>
      <c r="K30" s="10"/>
      <c r="L30" s="10"/>
    </row>
    <row r="31" spans="9:12" x14ac:dyDescent="0.25">
      <c r="I31" s="10"/>
      <c r="K31" s="10"/>
      <c r="L31" s="10"/>
    </row>
    <row r="32" spans="9:12" x14ac:dyDescent="0.25">
      <c r="I32" s="10"/>
      <c r="K32" s="10"/>
      <c r="L32" s="10"/>
    </row>
    <row r="33" spans="9:12" x14ac:dyDescent="0.25">
      <c r="I33" s="10"/>
      <c r="K33" s="10"/>
      <c r="L33" s="10"/>
    </row>
    <row r="34" spans="9:12" x14ac:dyDescent="0.25">
      <c r="I34" s="10"/>
      <c r="K34" s="10"/>
      <c r="L34" s="10"/>
    </row>
    <row r="35" spans="9:12" x14ac:dyDescent="0.25">
      <c r="I35" s="10"/>
      <c r="K35" s="10"/>
      <c r="L35" s="10"/>
    </row>
  </sheetData>
  <mergeCells count="1">
    <mergeCell ref="A1:L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7"/>
  <sheetViews>
    <sheetView workbookViewId="0">
      <selection activeCell="O13" sqref="O13"/>
    </sheetView>
  </sheetViews>
  <sheetFormatPr defaultColWidth="10.42578125" defaultRowHeight="15" x14ac:dyDescent="0.25"/>
  <cols>
    <col min="1" max="1" width="19.28515625" bestFit="1" customWidth="1"/>
    <col min="2" max="2" width="11.28515625" bestFit="1" customWidth="1"/>
    <col min="3" max="3" width="8.140625" bestFit="1" customWidth="1"/>
    <col min="4" max="4" width="9.5703125" bestFit="1" customWidth="1"/>
    <col min="5" max="5" width="14.7109375" bestFit="1" customWidth="1"/>
    <col min="6" max="6" width="12.85546875" bestFit="1" customWidth="1"/>
    <col min="7" max="7" width="5.7109375" bestFit="1" customWidth="1"/>
    <col min="10" max="10" width="5.5703125" bestFit="1" customWidth="1"/>
  </cols>
  <sheetData>
    <row r="1" spans="1:10" x14ac:dyDescent="0.25">
      <c r="A1" s="61" t="s">
        <v>9</v>
      </c>
      <c r="B1" s="61"/>
      <c r="C1" s="61"/>
      <c r="D1" s="61"/>
      <c r="E1" s="61"/>
      <c r="F1" s="61"/>
      <c r="G1" s="61"/>
    </row>
    <row r="2" spans="1:10" x14ac:dyDescent="0.25">
      <c r="A2" s="61"/>
      <c r="B2" s="61"/>
      <c r="C2" s="61"/>
      <c r="D2" s="61"/>
      <c r="E2" s="61"/>
      <c r="F2" s="61"/>
      <c r="G2" s="61"/>
    </row>
    <row r="3" spans="1:10" x14ac:dyDescent="0.25">
      <c r="A3" s="12" t="s">
        <v>11</v>
      </c>
      <c r="B3" s="12" t="s">
        <v>17</v>
      </c>
      <c r="C3" s="12" t="s">
        <v>39</v>
      </c>
      <c r="D3" s="12" t="s">
        <v>19</v>
      </c>
      <c r="E3" s="13" t="s">
        <v>8</v>
      </c>
      <c r="F3" s="13" t="s">
        <v>10</v>
      </c>
      <c r="G3" s="13" t="s">
        <v>9</v>
      </c>
    </row>
    <row r="4" spans="1:10" x14ac:dyDescent="0.25">
      <c r="A4" s="8"/>
      <c r="B4" s="8"/>
      <c r="C4" s="8"/>
      <c r="D4" s="8"/>
      <c r="E4">
        <f>SUMIFS(Table4[Quantity:],Table4[Brand:],Table3[Brand:],Table4[SIZE (L/KG):],Table3[SIZE (L/KG):],Table4[SIZE (B):],Table3[SIZE (B):],Table4[Thickness],Table3[Thickness])</f>
        <v>0</v>
      </c>
      <c r="F4">
        <f>SUMIFS(Table5[Quantity:],Table5[Brand:], Table3[Brand:],Table5[SIZE (L/KG):],Table3[SIZE (L/KG):],Table5[SIZE (B):],Table3[SIZE (B):],Table5[Thickness],Table3[Thickness])</f>
        <v>0</v>
      </c>
      <c r="G4">
        <f>Table3[[#This Row],[Purch  Quantity]]-Table3[[#This Row],[Sale Quantity]]</f>
        <v>0</v>
      </c>
    </row>
    <row r="5" spans="1:10" x14ac:dyDescent="0.25">
      <c r="A5" s="21" t="s">
        <v>40</v>
      </c>
      <c r="B5" s="54" t="s">
        <v>41</v>
      </c>
      <c r="C5" s="23">
        <v>1</v>
      </c>
      <c r="D5" s="23" t="s">
        <v>42</v>
      </c>
      <c r="E5">
        <f>SUMIFS(Table4[Quantity:],Table4[Brand:],Table3[Brand:],Table4[SIZE (L/KG):],Table3[SIZE (L/KG):],Table4[SIZE (B):],Table3[SIZE (B):],Table4[Thickness],Table3[Thickness])</f>
        <v>10</v>
      </c>
      <c r="F5">
        <f>SUMIFS(Table5[Quantity:],Table5[Brand:], Table3[Brand:],Table5[SIZE (L/KG):],Table3[SIZE (L/KG):],Table5[SIZE (B):],Table3[SIZE (B):],Table5[Thickness],Table3[Thickness])</f>
        <v>0</v>
      </c>
      <c r="G5">
        <f>Table3[[#This Row],[Purch  Quantity]]-Table3[[#This Row],[Sale Quantity]]</f>
        <v>10</v>
      </c>
    </row>
    <row r="6" spans="1:10" x14ac:dyDescent="0.25">
      <c r="A6" s="21" t="s">
        <v>40</v>
      </c>
      <c r="B6" s="54" t="s">
        <v>45</v>
      </c>
      <c r="C6" s="23">
        <v>1</v>
      </c>
      <c r="D6" s="23" t="s">
        <v>38</v>
      </c>
      <c r="E6">
        <f>SUMIFS(Table4[Quantity:],Table4[Brand:],Table3[Brand:],Table4[SIZE (L/KG):],Table3[SIZE (L/KG):],Table4[SIZE (B):],Table3[SIZE (B):],Table4[Thickness],Table3[Thickness])</f>
        <v>20</v>
      </c>
      <c r="F6">
        <f>SUMIFS(Table5[Quantity:],Table5[Brand:], Table3[Brand:],Table5[SIZE (L/KG):],Table3[SIZE (L/KG):],Table5[SIZE (B):],Table3[SIZE (B):],Table5[Thickness],Table3[Thickness])</f>
        <v>6</v>
      </c>
      <c r="G6">
        <f>Table3[[#This Row],[Purch  Quantity]]-Table3[[#This Row],[Sale Quantity]]</f>
        <v>14</v>
      </c>
      <c r="J6" t="s">
        <v>22</v>
      </c>
    </row>
    <row r="7" spans="1:10" x14ac:dyDescent="0.25">
      <c r="A7" s="21" t="s">
        <v>35</v>
      </c>
      <c r="B7" s="23" t="s">
        <v>36</v>
      </c>
      <c r="C7" s="23">
        <v>1</v>
      </c>
      <c r="D7" s="23" t="s">
        <v>36</v>
      </c>
      <c r="E7">
        <f>SUMIFS(Table4[Quantity:],Table4[Brand:],Table3[Brand:],Table4[SIZE (L/KG):],Table3[SIZE (L/KG):],Table4[SIZE (B):],Table3[SIZE (B):],Table4[Thickness],Table3[Thickness])</f>
        <v>40</v>
      </c>
      <c r="F7">
        <f>SUMIFS(Table5[Quantity:],Table5[Brand:], Table3[Brand:],Table5[SIZE (L/KG):],Table3[SIZE (L/KG):],Table5[SIZE (B):],Table3[SIZE (B):],Table5[Thickness],Table3[Thickness])</f>
        <v>0</v>
      </c>
      <c r="G7">
        <f>Table3[[#This Row],[Purch  Quantity]]-Table3[[#This Row],[Sale Quantity]]</f>
        <v>40</v>
      </c>
      <c r="J7" t="str">
        <f>"&lt;&gt;"</f>
        <v>&lt;&gt;</v>
      </c>
    </row>
    <row r="8" spans="1:10" x14ac:dyDescent="0.25">
      <c r="A8" s="21" t="s">
        <v>28</v>
      </c>
      <c r="B8" s="23">
        <v>7</v>
      </c>
      <c r="C8" s="23">
        <v>4</v>
      </c>
      <c r="D8" s="23" t="s">
        <v>34</v>
      </c>
      <c r="E8" s="36">
        <f>SUMIFS(Table4[Quantity:],Table4[Brand:],Table3[Brand:],Table4[SIZE (L/KG):],Table3[SIZE (L/KG):],Table4[SIZE (B):],Table3[SIZE (B):],Table4[Thickness],Table3[Thickness])</f>
        <v>20</v>
      </c>
      <c r="F8" s="36">
        <f>SUMIFS(Table5[Quantity:],Table5[Brand:], Table3[Brand:],Table5[SIZE (L/KG):],Table3[SIZE (L/KG):],Table5[SIZE (B):],Table3[SIZE (B):],Table5[Thickness],Table3[Thickness])</f>
        <v>0</v>
      </c>
      <c r="G8" s="36">
        <f>Table3[[#This Row],[Purch  Quantity]]-Table3[[#This Row],[Sale Quantity]]</f>
        <v>20</v>
      </c>
    </row>
    <row r="9" spans="1:10" x14ac:dyDescent="0.25">
      <c r="A9" s="21" t="s">
        <v>30</v>
      </c>
      <c r="B9" s="23">
        <v>7</v>
      </c>
      <c r="C9" s="23">
        <v>4</v>
      </c>
      <c r="D9" s="23" t="s">
        <v>20</v>
      </c>
      <c r="E9" s="36">
        <f>SUMIFS(Table4[Quantity:],Table4[Brand:],Table3[Brand:],Table4[SIZE (L/KG):],Table3[SIZE (L/KG):],Table4[SIZE (B):],Table3[SIZE (B):],Table4[Thickness],Table3[Thickness])</f>
        <v>3</v>
      </c>
      <c r="F9" s="36">
        <f>SUMIFS(Table5[Quantity:],Table5[Brand:], Table3[Brand:],Table5[SIZE (L/KG):],Table3[SIZE (L/KG):],Table5[SIZE (B):],Table3[SIZE (B):],Table5[Thickness],Table3[Thickness])</f>
        <v>0</v>
      </c>
      <c r="G9" s="36">
        <f>Table3[[#This Row],[Purch  Quantity]]-Table3[[#This Row],[Sale Quantity]]</f>
        <v>3</v>
      </c>
    </row>
    <row r="10" spans="1:10" x14ac:dyDescent="0.25">
      <c r="A10" s="21" t="s">
        <v>28</v>
      </c>
      <c r="B10" s="23">
        <v>8</v>
      </c>
      <c r="C10" s="23">
        <v>4</v>
      </c>
      <c r="D10" s="23" t="s">
        <v>20</v>
      </c>
      <c r="E10" s="36">
        <f>SUMIFS(Table4[Quantity:],Table4[Brand:],Table3[Brand:],Table4[SIZE (L/KG):],Table3[SIZE (L/KG):],Table4[SIZE (B):],Table3[SIZE (B):],Table4[Thickness],Table3[Thickness])</f>
        <v>7</v>
      </c>
      <c r="F10" s="36">
        <f>SUMIFS(Table5[Quantity:],Table5[Brand:], Table3[Brand:],Table5[SIZE (L/KG):],Table3[SIZE (L/KG):],Table5[SIZE (B):],Table3[SIZE (B):],Table5[Thickness],Table3[Thickness])</f>
        <v>0</v>
      </c>
      <c r="G10" s="36">
        <f>Table3[[#This Row],[Purch  Quantity]]-Table3[[#This Row],[Sale Quantity]]</f>
        <v>7</v>
      </c>
    </row>
    <row r="11" spans="1:10" x14ac:dyDescent="0.25">
      <c r="A11" s="21" t="s">
        <v>28</v>
      </c>
      <c r="B11" s="23">
        <v>7</v>
      </c>
      <c r="C11" s="23">
        <v>4</v>
      </c>
      <c r="D11" s="23" t="s">
        <v>20</v>
      </c>
      <c r="E11" s="36">
        <f>SUMIFS(Table4[Quantity:],Table4[Brand:],Table3[Brand:],Table4[SIZE (L/KG):],Table3[SIZE (L/KG):],Table4[SIZE (B):],Table3[SIZE (B):],Table4[Thickness],Table3[Thickness])</f>
        <v>7</v>
      </c>
      <c r="F11" s="36">
        <f>SUMIFS(Table5[Quantity:],Table5[Brand:], Table3[Brand:],Table5[SIZE (L/KG):],Table3[SIZE (L/KG):],Table5[SIZE (B):],Table3[SIZE (B):],Table5[Thickness],Table3[Thickness])</f>
        <v>0</v>
      </c>
      <c r="G11" s="36">
        <f>Table3[[#This Row],[Purch  Quantity]]-Table3[[#This Row],[Sale Quantity]]</f>
        <v>7</v>
      </c>
    </row>
    <row r="12" spans="1:10" x14ac:dyDescent="0.25">
      <c r="A12" s="21" t="s">
        <v>29</v>
      </c>
      <c r="B12" s="23">
        <v>8</v>
      </c>
      <c r="C12" s="23">
        <v>4</v>
      </c>
      <c r="D12" s="23" t="s">
        <v>20</v>
      </c>
      <c r="E12" s="36">
        <f>SUMIFS(Table4[Quantity:],Table4[Brand:],Table3[Brand:],Table4[SIZE (L/KG):],Table3[SIZE (L/KG):],Table4[SIZE (B):],Table3[SIZE (B):],Table4[Thickness],Table3[Thickness])</f>
        <v>5</v>
      </c>
      <c r="F12" s="36">
        <f>SUMIFS(Table5[Quantity:],Table5[Brand:], Table3[Brand:],Table5[SIZE (L/KG):],Table3[SIZE (L/KG):],Table5[SIZE (B):],Table3[SIZE (B):],Table5[Thickness],Table3[Thickness])</f>
        <v>2</v>
      </c>
      <c r="G12" s="36">
        <f>Table3[[#This Row],[Purch  Quantity]]-Table3[[#This Row],[Sale Quantity]]</f>
        <v>3</v>
      </c>
    </row>
    <row r="13" spans="1:10" x14ac:dyDescent="0.25">
      <c r="A13" s="30" t="s">
        <v>21</v>
      </c>
      <c r="B13" s="31">
        <v>8</v>
      </c>
      <c r="C13" s="31">
        <v>4</v>
      </c>
      <c r="D13" s="31" t="s">
        <v>23</v>
      </c>
      <c r="E13" s="36">
        <f>SUMIFS(Table4[Quantity:],Table4[Brand:],Table3[Brand:],Table4[SIZE (L/KG):],Table3[SIZE (L/KG):],Table4[SIZE (B):],Table3[SIZE (B):],Table4[Thickness],Table3[Thickness])</f>
        <v>5</v>
      </c>
      <c r="F13" s="36">
        <f>SUMIFS(Table5[Quantity:],Table5[Brand:], Table3[Brand:],Table5[SIZE (L/KG):],Table3[SIZE (L/KG):],Table5[SIZE (B):],Table3[SIZE (B):],Table5[Thickness],Table3[Thickness])</f>
        <v>0</v>
      </c>
      <c r="G13" s="36">
        <f>Table3[[#This Row],[Purch  Quantity]]-Table3[[#This Row],[Sale Quantity]]</f>
        <v>5</v>
      </c>
    </row>
    <row r="14" spans="1:10" x14ac:dyDescent="0.25">
      <c r="A14" s="3" t="s">
        <v>21</v>
      </c>
      <c r="B14" s="5">
        <v>8</v>
      </c>
      <c r="C14" s="5">
        <v>4</v>
      </c>
      <c r="D14" s="5" t="s">
        <v>20</v>
      </c>
      <c r="E14" s="36">
        <f>SUMIFS(Table4[Quantity:],Table4[Brand:],Table3[Brand:],Table4[SIZE (L/KG):],Table3[SIZE (L/KG):],Table4[SIZE (B):],Table3[SIZE (B):],Table4[Thickness],Table3[Thickness])</f>
        <v>15</v>
      </c>
      <c r="F14" s="36">
        <f>SUMIFS(Table5[Quantity:],Table5[Brand:], Table3[Brand:],Table5[SIZE (L/KG):],Table3[SIZE (L/KG):],Table5[SIZE (B):],Table3[SIZE (B):],Table5[Thickness],Table3[Thickness])</f>
        <v>4</v>
      </c>
      <c r="G14" s="36">
        <f>Table3[[#This Row],[Purch  Quantity]]-Table3[[#This Row],[Sale Quantity]]</f>
        <v>11</v>
      </c>
    </row>
    <row r="15" spans="1:10" x14ac:dyDescent="0.25">
      <c r="A15" s="3" t="s">
        <v>21</v>
      </c>
      <c r="B15" s="5">
        <v>8</v>
      </c>
      <c r="C15" s="5">
        <v>3</v>
      </c>
      <c r="D15" s="5" t="s">
        <v>20</v>
      </c>
      <c r="E15" s="36">
        <f>SUMIFS(Table4[Quantity:],Table4[Brand:],Table3[Brand:],Table4[SIZE (L/KG):],Table3[SIZE (L/KG):],Table4[SIZE (B):],Table3[SIZE (B):],Table4[Thickness],Table3[Thickness])</f>
        <v>10</v>
      </c>
      <c r="F15" s="36">
        <f>SUMIFS(Table5[Quantity:],Table5[Brand:], Table3[Brand:],Table5[SIZE (L/KG):],Table3[SIZE (L/KG):],Table5[SIZE (B):],Table3[SIZE (B):],Table5[Thickness],Table3[Thickness])</f>
        <v>3</v>
      </c>
      <c r="G15" s="36">
        <f>Table3[[#This Row],[Purch  Quantity]]-Table3[[#This Row],[Sale Quantity]]</f>
        <v>7</v>
      </c>
    </row>
    <row r="16" spans="1:10" x14ac:dyDescent="0.25">
      <c r="A16" s="3"/>
      <c r="B16" s="5"/>
      <c r="C16" s="5"/>
      <c r="D16" s="5"/>
      <c r="E16" s="36">
        <f>SUMIFS(Table4[Quantity:],Table4[Brand:],Table3[Brand:],Table4[SIZE (L/KG):],Table3[SIZE (L/KG):],Table4[SIZE (B):],Table3[SIZE (B):],Table4[Thickness],Table3[Thickness])</f>
        <v>0</v>
      </c>
      <c r="F16" s="36">
        <f>SUMIFS(Table5[Quantity:],Table5[Brand:], Table3[Brand:],Table5[SIZE (L/KG):],Table3[SIZE (L/KG):],Table5[SIZE (B):],Table3[SIZE (B):],Table5[Thickness],Table3[Thickness])</f>
        <v>0</v>
      </c>
      <c r="G16" s="36">
        <f>Table3[[#This Row],[Purch  Quantity]]-Table3[[#This Row],[Sale Quantity]]</f>
        <v>0</v>
      </c>
    </row>
    <row r="17" spans="5:7" x14ac:dyDescent="0.25">
      <c r="E17" s="36">
        <f>SUMIFS(Table4[Quantity:],Table4[Brand:],Table3[Brand:],Table4[SIZE (L/KG):],Table3[SIZE (L/KG):],Table4[SIZE (B):],Table3[SIZE (B):],Table4[Thickness],Table3[Thickness])</f>
        <v>0</v>
      </c>
      <c r="F17" s="36">
        <f>SUMIFS(Table5[Quantity:],Table5[Brand:], Table3[Brand:],Table5[SIZE (L/KG):],Table3[SIZE (L/KG):],Table5[SIZE (B):],Table3[SIZE (B):],Table5[Thickness],Table3[Thickness])</f>
        <v>0</v>
      </c>
      <c r="G17" s="36">
        <f>Table3[[#This Row],[Purch  Quantity]]-Table3[[#This Row],[Sale Quantity]]</f>
        <v>0</v>
      </c>
    </row>
    <row r="18" spans="5:7" x14ac:dyDescent="0.25">
      <c r="E18" s="36">
        <f>SUMIFS(Table4[Quantity:],Table4[Brand:],Table3[Brand:],Table4[SIZE (L/KG):],Table3[SIZE (L/KG):],Table4[SIZE (B):],Table3[SIZE (B):],Table4[Thickness],Table3[Thickness])</f>
        <v>0</v>
      </c>
      <c r="F18" s="36">
        <f>SUMIFS(Table5[Quantity:],Table5[Brand:], Table3[Brand:],Table5[SIZE (L/KG):],Table3[SIZE (L/KG):],Table5[SIZE (B):],Table3[SIZE (B):],Table5[Thickness],Table3[Thickness])</f>
        <v>0</v>
      </c>
      <c r="G18" s="36">
        <f>Table3[[#This Row],[Purch  Quantity]]-Table3[[#This Row],[Sale Quantity]]</f>
        <v>0</v>
      </c>
    </row>
    <row r="19" spans="5:7" x14ac:dyDescent="0.25">
      <c r="E19" s="36">
        <f>SUMIFS(Table4[Quantity:],Table4[Brand:],Table3[Brand:],Table4[SIZE (L/KG):],Table3[SIZE (L/KG):],Table4[SIZE (B):],Table3[SIZE (B):],Table4[Thickness],Table3[Thickness])</f>
        <v>0</v>
      </c>
      <c r="F19" s="36">
        <f>SUMIFS(Table5[Quantity:],Table5[Brand:], Table3[Brand:],Table5[SIZE (L/KG):],Table3[SIZE (L/KG):],Table5[SIZE (B):],Table3[SIZE (B):],Table5[Thickness],Table3[Thickness])</f>
        <v>0</v>
      </c>
      <c r="G19" s="36">
        <f>Table3[[#This Row],[Purch  Quantity]]-Table3[[#This Row],[Sale Quantity]]</f>
        <v>0</v>
      </c>
    </row>
    <row r="20" spans="5:7" x14ac:dyDescent="0.25">
      <c r="E20" s="36">
        <f>SUMIFS(Table4[Quantity:],Table4[Brand:],Table3[Brand:],Table4[SIZE (L/KG):],Table3[SIZE (L/KG):],Table4[SIZE (B):],Table3[SIZE (B):],Table4[Thickness],Table3[Thickness])</f>
        <v>0</v>
      </c>
      <c r="F20" s="36">
        <f>SUMIFS(Table5[Quantity:],Table5[Brand:], Table3[Brand:],Table5[SIZE (L/KG):],Table3[SIZE (L/KG):],Table5[SIZE (B):],Table3[SIZE (B):],Table5[Thickness],Table3[Thickness])</f>
        <v>0</v>
      </c>
      <c r="G20" s="36">
        <f>Table3[[#This Row],[Purch  Quantity]]-Table3[[#This Row],[Sale Quantity]]</f>
        <v>0</v>
      </c>
    </row>
    <row r="21" spans="5:7" x14ac:dyDescent="0.25">
      <c r="E21" s="36"/>
      <c r="F21" s="36"/>
      <c r="G21" s="36"/>
    </row>
    <row r="22" spans="5:7" x14ac:dyDescent="0.25">
      <c r="E22" s="36"/>
      <c r="F22" s="36"/>
      <c r="G22" s="36"/>
    </row>
    <row r="23" spans="5:7" x14ac:dyDescent="0.25">
      <c r="E23" s="36"/>
      <c r="F23" s="36"/>
      <c r="G23" s="36"/>
    </row>
    <row r="24" spans="5:7" x14ac:dyDescent="0.25">
      <c r="E24" s="36"/>
      <c r="F24" s="36"/>
      <c r="G24" s="36"/>
    </row>
    <row r="25" spans="5:7" x14ac:dyDescent="0.25">
      <c r="E25" s="36"/>
      <c r="F25" s="36"/>
      <c r="G25" s="36"/>
    </row>
    <row r="26" spans="5:7" x14ac:dyDescent="0.25">
      <c r="E26" s="36"/>
      <c r="F26" s="36"/>
      <c r="G26" s="36"/>
    </row>
    <row r="27" spans="5:7" x14ac:dyDescent="0.25">
      <c r="E27" s="36"/>
      <c r="F27" s="36"/>
      <c r="G27" s="36"/>
    </row>
  </sheetData>
  <mergeCells count="1">
    <mergeCell ref="A1:G2"/>
  </mergeCells>
  <conditionalFormatting sqref="G1:G1048576">
    <cfRule type="cellIs" dxfId="9" priority="1" operator="lessThan">
      <formula>4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"/>
  <sheetViews>
    <sheetView workbookViewId="0">
      <selection activeCell="K11" sqref="K11"/>
    </sheetView>
  </sheetViews>
  <sheetFormatPr defaultRowHeight="15" x14ac:dyDescent="0.25"/>
  <cols>
    <col min="1" max="1" width="13.5703125" style="1" bestFit="1" customWidth="1"/>
    <col min="2" max="2" width="14" style="1" bestFit="1" customWidth="1"/>
    <col min="3" max="3" width="11.85546875" style="37" bestFit="1" customWidth="1"/>
    <col min="4" max="4" width="19.7109375" style="1" bestFit="1" customWidth="1"/>
  </cols>
  <sheetData>
    <row r="1" spans="1:8" x14ac:dyDescent="0.25">
      <c r="A1" s="62" t="s">
        <v>25</v>
      </c>
      <c r="B1" s="63"/>
      <c r="C1" s="62"/>
      <c r="D1" s="62"/>
      <c r="E1" s="37"/>
      <c r="F1" s="37"/>
      <c r="G1" s="37"/>
      <c r="H1" s="37"/>
    </row>
    <row r="2" spans="1:8" x14ac:dyDescent="0.25">
      <c r="A2" s="62"/>
      <c r="B2" s="63"/>
      <c r="C2" s="62"/>
      <c r="D2" s="62"/>
      <c r="E2" s="37"/>
      <c r="F2" s="37"/>
      <c r="G2" s="37"/>
      <c r="H2" s="37"/>
    </row>
    <row r="3" spans="1:8" s="2" customFormat="1" x14ac:dyDescent="0.25">
      <c r="A3" s="14" t="s">
        <v>17</v>
      </c>
      <c r="B3" s="14" t="s">
        <v>39</v>
      </c>
      <c r="C3" s="14" t="s">
        <v>19</v>
      </c>
      <c r="D3" s="35" t="s">
        <v>24</v>
      </c>
    </row>
    <row r="4" spans="1:8" x14ac:dyDescent="0.25">
      <c r="A4" s="1">
        <v>8</v>
      </c>
      <c r="B4" s="1">
        <v>4</v>
      </c>
      <c r="C4" s="37" t="s">
        <v>20</v>
      </c>
      <c r="D4" s="1">
        <f>SUMIFS(Table3[Stock],Table3[SIZE (L/KG):],Table2[SIZE (L/KG):],Table3[SIZE (B):],Table2[SIZE (B):],Table3[Thickness],Table2[Thickness])</f>
        <v>21</v>
      </c>
    </row>
    <row r="5" spans="1:8" x14ac:dyDescent="0.25">
      <c r="A5" s="1">
        <v>8</v>
      </c>
      <c r="B5" s="1">
        <v>3</v>
      </c>
      <c r="C5" s="37" t="s">
        <v>20</v>
      </c>
      <c r="D5" s="1">
        <f>SUMIFS(Table3[Stock],Table3[SIZE (L/KG):],Table2[SIZE (L/KG):],Table3[SIZE (B):],Table2[SIZE (B):],Table3[Thickness],Table2[Thickness])</f>
        <v>7</v>
      </c>
    </row>
    <row r="6" spans="1:8" x14ac:dyDescent="0.25">
      <c r="A6" s="1">
        <v>5</v>
      </c>
      <c r="B6" s="1">
        <v>1</v>
      </c>
      <c r="C6" s="37" t="s">
        <v>27</v>
      </c>
      <c r="D6" s="1">
        <f>SUMIFS(Table3[Stock],Table3[SIZE (L/KG):],Table2[SIZE (L/KG):],Table3[SIZE (B):],Table2[SIZE (B):],Table3[Thickness],Table2[Thickness])</f>
        <v>0</v>
      </c>
    </row>
    <row r="7" spans="1:8" x14ac:dyDescent="0.25">
      <c r="A7" s="1" t="s">
        <v>45</v>
      </c>
      <c r="B7" s="1">
        <v>1</v>
      </c>
      <c r="C7" s="37" t="s">
        <v>38</v>
      </c>
      <c r="D7" s="1">
        <f>SUMIFS(Table3[[#All],[Stock]],Table3[[#All],[SIZE (L/KG):]],Table2[[#All],[SIZE (L/KG):]],Table3[[#All],[SIZE (B):]],Table2[[#All],[SIZE (B):]],Table3[[#All],[Thickness]],Table2[[#All],[Thickness]])</f>
        <v>14</v>
      </c>
    </row>
    <row r="8" spans="1:8" x14ac:dyDescent="0.25">
      <c r="A8" s="1" t="s">
        <v>44</v>
      </c>
      <c r="B8" s="1">
        <v>1</v>
      </c>
      <c r="C8" s="37" t="s">
        <v>42</v>
      </c>
      <c r="D8" s="1">
        <f>SUMIFS(Table3[[#All],[Stock]],Table3[[#All],[SIZE (L/KG):]],Table2[[#All],[SIZE (L/KG):]],Table3[[#All],[SIZE (B):]],Table2[[#All],[SIZE (B):]],Table3[[#All],[Thickness]],Table2[[#All],[Thickness]])</f>
        <v>10</v>
      </c>
    </row>
    <row r="9" spans="1:8" x14ac:dyDescent="0.25">
      <c r="A9" s="1" t="s">
        <v>36</v>
      </c>
      <c r="B9" s="1">
        <v>1</v>
      </c>
      <c r="C9" s="37" t="s">
        <v>36</v>
      </c>
      <c r="D9" s="1">
        <f>SUMIFS(Table3[[#All],[Stock]],Table3[[#All],[SIZE (L/KG):]],Table2[[#All],[SIZE (L/KG):]],Table3[[#All],[SIZE (B):]],Table2[[#All],[SIZE (B):]],Table3[[#All],[Thickness]],Table2[[#All],[Thickness]])</f>
        <v>40</v>
      </c>
    </row>
    <row r="10" spans="1:8" x14ac:dyDescent="0.25">
      <c r="D10" s="1">
        <f>SUMIFS(Table3[[#All],[Stock]],Table3[[#All],[SIZE (L/KG):]],Table2[[#All],[SIZE (L/KG):]],Table3[[#All],[SIZE (B):]],Table2[[#All],[SIZE (B):]],Table3[[#All],[Thickness]],Table2[[#All],[Thickness]])</f>
        <v>0</v>
      </c>
    </row>
    <row r="11" spans="1:8" x14ac:dyDescent="0.25">
      <c r="D11" s="1">
        <f>SUMIFS(Table3[[#All],[Stock]],Table3[[#All],[SIZE (L/KG):]],Table2[[#All],[SIZE (L/KG):]],Table3[[#All],[SIZE (B):]],Table2[[#All],[SIZE (B):]],Table3[[#All],[Thickness]],Table2[[#All],[Thickness]])</f>
        <v>0</v>
      </c>
    </row>
    <row r="12" spans="1:8" x14ac:dyDescent="0.25">
      <c r="D12" s="1">
        <f>SUMIFS(Table3[[#All],[Stock]],Table3[[#All],[SIZE (L/KG):]],Table2[[#All],[SIZE (L/KG):]],Table3[[#All],[SIZE (B):]],Table2[[#All],[SIZE (B):]],Table3[[#All],[Thickness]],Table2[[#All],[Thickness]])</f>
        <v>0</v>
      </c>
    </row>
    <row r="13" spans="1:8" x14ac:dyDescent="0.25">
      <c r="D13" s="1">
        <f>SUMIFS(Table3[[#All],[Stock]],Table3[[#All],[SIZE (L/KG):]],Table2[[#All],[SIZE (L/KG):]],Table3[[#All],[SIZE (B):]],Table2[[#All],[SIZE (B):]],Table3[[#All],[Thickness]],Table2[[#All],[Thickness]])</f>
        <v>0</v>
      </c>
    </row>
    <row r="14" spans="1:8" x14ac:dyDescent="0.25">
      <c r="D14" s="1">
        <f>SUMIFS(Table3[[#All],[Stock]],Table3[[#All],[SIZE (L/KG):]],Table2[[#All],[SIZE (L/KG):]],Table3[[#All],[SIZE (B):]],Table2[[#All],[SIZE (B):]],Table3[[#All],[Thickness]],Table2[[#All],[Thickness]])</f>
        <v>0</v>
      </c>
    </row>
    <row r="15" spans="1:8" x14ac:dyDescent="0.25">
      <c r="D15" s="1">
        <f>SUMIFS(Table3[[#All],[Stock]],Table3[[#All],[SIZE (L/KG):]],Table2[[#All],[SIZE (L/KG):]],Table3[[#All],[SIZE (B):]],Table2[[#All],[SIZE (B):]],Table3[[#All],[Thickness]],Table2[[#All],[Thickness]])</f>
        <v>0</v>
      </c>
    </row>
    <row r="16" spans="1:8" x14ac:dyDescent="0.25">
      <c r="D16" s="1">
        <f>SUMIFS(Table3[[#All],[Stock]],Table3[[#All],[SIZE (L/KG):]],Table2[[#All],[SIZE (L/KG):]],Table3[[#All],[SIZE (B):]],Table2[[#All],[SIZE (B):]],Table3[[#All],[Thickness]],Table2[[#All],[Thickness]])</f>
        <v>0</v>
      </c>
    </row>
    <row r="17" spans="4:4" x14ac:dyDescent="0.25">
      <c r="D17" s="1">
        <f>SUMIFS(Table3[[#All],[Stock]],Table3[[#All],[SIZE (L/KG):]],Table2[[#All],[SIZE (L/KG):]],Table3[[#All],[SIZE (B):]],Table2[[#All],[SIZE (B):]],Table3[[#All],[Thickness]],Table2[[#All],[Thickness]])</f>
        <v>0</v>
      </c>
    </row>
    <row r="18" spans="4:4" x14ac:dyDescent="0.25">
      <c r="D18" s="1">
        <f>SUMIFS(Table3[[#All],[Stock]],Table3[[#All],[SIZE (L/KG):]],Table2[[#All],[SIZE (L/KG):]],Table3[[#All],[SIZE (B):]],Table2[[#All],[SIZE (B):]],Table3[[#All],[Thickness]],Table2[[#All],[Thickness]])</f>
        <v>0</v>
      </c>
    </row>
    <row r="19" spans="4:4" x14ac:dyDescent="0.25">
      <c r="D19" s="1">
        <f>SUMIFS(Table3[[#All],[Stock]],Table3[[#All],[SIZE (L/KG):]],Table2[[#All],[SIZE (L/KG):]],Table3[[#All],[SIZE (B):]],Table2[[#All],[SIZE (B):]],Table3[[#All],[Thickness]],Table2[[#All],[Thickness]])</f>
        <v>0</v>
      </c>
    </row>
    <row r="20" spans="4:4" x14ac:dyDescent="0.25">
      <c r="D20" s="1">
        <f>SUMIFS(Table3[[#All],[Stock]],Table3[[#All],[SIZE (L/KG):]],Table2[[#All],[SIZE (L/KG):]],Table3[[#All],[SIZE (B):]],Table2[[#All],[SIZE (B):]],Table3[[#All],[Thickness]],Table2[[#All],[Thickness]])</f>
        <v>0</v>
      </c>
    </row>
  </sheetData>
  <mergeCells count="1">
    <mergeCell ref="A1:D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B2" sqref="B2"/>
    </sheetView>
  </sheetViews>
  <sheetFormatPr defaultRowHeight="15" x14ac:dyDescent="0.25"/>
  <cols>
    <col min="1" max="1" width="21.5703125" customWidth="1"/>
    <col min="2" max="2" width="19.7109375" customWidth="1"/>
    <col min="3" max="8" width="16.28515625" customWidth="1"/>
    <col min="9" max="10" width="11.28515625" customWidth="1"/>
    <col min="11" max="11" width="11.28515625" bestFit="1" customWidth="1"/>
    <col min="12" max="12" width="7.28515625" bestFit="1" customWidth="1"/>
    <col min="13" max="13" width="10.28515625" bestFit="1" customWidth="1"/>
    <col min="14" max="14" width="8.140625" bestFit="1" customWidth="1"/>
    <col min="15" max="15" width="11.140625" bestFit="1" customWidth="1"/>
    <col min="16" max="16" width="9.28515625" bestFit="1" customWidth="1"/>
    <col min="17" max="17" width="12.28515625" bestFit="1" customWidth="1"/>
    <col min="18" max="18" width="5.140625" bestFit="1" customWidth="1"/>
    <col min="19" max="19" width="8.140625" bestFit="1" customWidth="1"/>
    <col min="21" max="21" width="12.140625" bestFit="1" customWidth="1"/>
    <col min="22" max="22" width="11.28515625" bestFit="1" customWidth="1"/>
  </cols>
  <sheetData>
    <row r="1" spans="1:3" x14ac:dyDescent="0.25">
      <c r="A1" s="55" t="s">
        <v>19</v>
      </c>
      <c r="B1" t="s">
        <v>38</v>
      </c>
    </row>
    <row r="2" spans="1:3" x14ac:dyDescent="0.25">
      <c r="A2" s="55" t="s">
        <v>17</v>
      </c>
      <c r="B2" t="s">
        <v>45</v>
      </c>
    </row>
    <row r="3" spans="1:3" x14ac:dyDescent="0.25">
      <c r="A3" s="55" t="s">
        <v>39</v>
      </c>
      <c r="B3" s="2">
        <v>1</v>
      </c>
    </row>
    <row r="5" spans="1:3" x14ac:dyDescent="0.25">
      <c r="A5" t="s">
        <v>46</v>
      </c>
      <c r="B5" t="s">
        <v>47</v>
      </c>
      <c r="C5" s="56" t="s">
        <v>48</v>
      </c>
    </row>
    <row r="6" spans="1:3" x14ac:dyDescent="0.25">
      <c r="A6" s="36">
        <v>20</v>
      </c>
      <c r="B6" s="36">
        <v>3</v>
      </c>
      <c r="C6" s="57">
        <f>GETPIVOTDATA("Sum of Purch  Quantity",$A$5)-GETPIVOTDATA("Sum of Sale Quantity",$A$5)</f>
        <v>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18"/>
  <sheetViews>
    <sheetView workbookViewId="0">
      <selection activeCell="F21" sqref="F21"/>
    </sheetView>
  </sheetViews>
  <sheetFormatPr defaultColWidth="12.85546875" defaultRowHeight="15" x14ac:dyDescent="0.25"/>
  <sheetData>
    <row r="2" spans="1:12" x14ac:dyDescent="0.25">
      <c r="A2" s="38">
        <v>5</v>
      </c>
      <c r="B2" s="42">
        <v>44198</v>
      </c>
      <c r="C2" s="38" t="s">
        <v>26</v>
      </c>
      <c r="D2" s="39">
        <v>5</v>
      </c>
      <c r="E2" s="39">
        <v>1</v>
      </c>
      <c r="F2" s="39" t="s">
        <v>27</v>
      </c>
      <c r="G2" s="39">
        <v>10</v>
      </c>
      <c r="H2" s="43">
        <v>1200</v>
      </c>
      <c r="I2" s="44">
        <f>IF(ISNUMBER(SEARCH("ply",C2:C4)), H2*E2*D2,H2*E2)</f>
        <v>1200</v>
      </c>
      <c r="J2" s="43"/>
      <c r="K2" s="44">
        <f t="shared" ref="K2:K6" si="0">I2-J2</f>
        <v>1200</v>
      </c>
      <c r="L2" s="44">
        <f t="shared" ref="L2:L6" si="1">K2*G2</f>
        <v>12000</v>
      </c>
    </row>
    <row r="3" spans="1:12" x14ac:dyDescent="0.25">
      <c r="A3" s="38">
        <v>5</v>
      </c>
      <c r="B3" s="42">
        <v>44198</v>
      </c>
      <c r="C3" s="38" t="s">
        <v>29</v>
      </c>
      <c r="D3" s="39">
        <v>8</v>
      </c>
      <c r="E3" s="39">
        <v>4</v>
      </c>
      <c r="F3" s="39" t="s">
        <v>20</v>
      </c>
      <c r="G3" s="39">
        <v>5</v>
      </c>
      <c r="H3" s="43">
        <v>55</v>
      </c>
      <c r="I3" s="44">
        <f>IF(ISNUMBER(SEARCH("ply",C3:C5)), H3*E3*D3,H3*E3)</f>
        <v>1760</v>
      </c>
      <c r="J3" s="43"/>
      <c r="K3" s="44">
        <f t="shared" si="0"/>
        <v>1760</v>
      </c>
      <c r="L3" s="44">
        <f t="shared" si="1"/>
        <v>8800</v>
      </c>
    </row>
    <row r="4" spans="1:12" x14ac:dyDescent="0.25">
      <c r="A4" s="40">
        <v>4</v>
      </c>
      <c r="B4" s="45">
        <v>44197</v>
      </c>
      <c r="C4" s="46" t="s">
        <v>21</v>
      </c>
      <c r="D4" s="41">
        <v>8</v>
      </c>
      <c r="E4" s="41">
        <v>4</v>
      </c>
      <c r="F4" s="41" t="s">
        <v>23</v>
      </c>
      <c r="G4" s="41">
        <v>5</v>
      </c>
      <c r="H4" s="47">
        <v>64</v>
      </c>
      <c r="I4" s="44">
        <f t="shared" ref="I4:I6" si="2">IF(ISNUMBER(SEARCH("ply",C4:C6)), H4*E4*D4,H4*E4)</f>
        <v>2048</v>
      </c>
      <c r="J4" s="47"/>
      <c r="K4" s="48">
        <f t="shared" si="0"/>
        <v>2048</v>
      </c>
      <c r="L4" s="49">
        <f t="shared" si="1"/>
        <v>10240</v>
      </c>
    </row>
    <row r="5" spans="1:12" x14ac:dyDescent="0.25">
      <c r="A5" s="50">
        <v>6</v>
      </c>
      <c r="B5" s="51">
        <v>44197</v>
      </c>
      <c r="C5" s="50" t="s">
        <v>32</v>
      </c>
      <c r="D5" s="52">
        <v>1</v>
      </c>
      <c r="E5" s="52">
        <v>1</v>
      </c>
      <c r="F5" s="52" t="s">
        <v>33</v>
      </c>
      <c r="G5" s="52">
        <v>10</v>
      </c>
      <c r="H5" s="53">
        <v>450</v>
      </c>
      <c r="I5" s="44">
        <f t="shared" si="2"/>
        <v>450</v>
      </c>
      <c r="K5" s="48">
        <f t="shared" si="0"/>
        <v>450</v>
      </c>
      <c r="L5" s="49">
        <f t="shared" si="1"/>
        <v>4500</v>
      </c>
    </row>
    <row r="6" spans="1:12" x14ac:dyDescent="0.25">
      <c r="A6" s="50">
        <v>7</v>
      </c>
      <c r="C6" s="50" t="s">
        <v>28</v>
      </c>
      <c r="D6" s="52">
        <v>8</v>
      </c>
      <c r="E6" s="52">
        <v>4</v>
      </c>
      <c r="F6" s="52" t="s">
        <v>34</v>
      </c>
      <c r="G6" s="52">
        <v>20</v>
      </c>
      <c r="H6" s="53">
        <v>30</v>
      </c>
      <c r="I6" s="34">
        <f t="shared" si="2"/>
        <v>960</v>
      </c>
      <c r="K6" s="34">
        <f t="shared" si="0"/>
        <v>960</v>
      </c>
      <c r="L6" s="34">
        <f t="shared" si="1"/>
        <v>19200</v>
      </c>
    </row>
    <row r="14" spans="1:12" x14ac:dyDescent="0.25">
      <c r="E14" t="s">
        <v>31</v>
      </c>
    </row>
    <row r="18" spans="1:3" x14ac:dyDescent="0.25">
      <c r="A18" s="14" t="s">
        <v>17</v>
      </c>
      <c r="B18" s="14" t="s">
        <v>39</v>
      </c>
      <c r="C18" s="14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home</vt:lpstr>
      <vt:lpstr>purchase</vt:lpstr>
      <vt:lpstr>sales</vt:lpstr>
      <vt:lpstr>stock</vt:lpstr>
      <vt:lpstr>Stock Adv</vt:lpstr>
      <vt:lpstr>P table</vt:lpstr>
      <vt:lpstr>Rough</vt:lpstr>
      <vt:lpstr>stock!Extract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Aditya</cp:lastModifiedBy>
  <dcterms:created xsi:type="dcterms:W3CDTF">2023-06-07T21:03:48Z</dcterms:created>
  <dcterms:modified xsi:type="dcterms:W3CDTF">2023-06-16T13:07:39Z</dcterms:modified>
</cp:coreProperties>
</file>